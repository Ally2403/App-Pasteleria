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ison Ruiz\Desktop\app mami\EXCELS\"/>
    </mc:Choice>
  </mc:AlternateContent>
  <xr:revisionPtr revIDLastSave="0" documentId="8_{F27BA94D-D7C4-4924-AB18-3505BCB3505B}" xr6:coauthVersionLast="47" xr6:coauthVersionMax="47" xr10:uidLastSave="{00000000-0000-0000-0000-000000000000}"/>
  <bookViews>
    <workbookView xWindow="6660" yWindow="2424" windowWidth="12900" windowHeight="6636" activeTab="3" xr2:uid="{23677EAE-80C5-43AD-BEEF-E1BB2B19AAB2}"/>
  </bookViews>
  <sheets>
    <sheet name="Coco premium" sheetId="1" r:id="rId1"/>
    <sheet name="Arándanos premium" sheetId="2" r:id="rId2"/>
    <sheet name="Arándanos plus" sheetId="3" r:id="rId3"/>
    <sheet name="Coco plu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4" l="1"/>
  <c r="I23" i="4"/>
  <c r="I21" i="4"/>
  <c r="I20" i="4"/>
  <c r="I19" i="4"/>
  <c r="I18" i="4"/>
  <c r="I17" i="4"/>
  <c r="I16" i="4"/>
  <c r="I15" i="4"/>
  <c r="I14" i="4"/>
  <c r="G13" i="4"/>
  <c r="I13" i="4" s="1"/>
  <c r="I12" i="4"/>
  <c r="I11" i="4"/>
  <c r="I10" i="4"/>
  <c r="I9" i="4"/>
  <c r="I8" i="4"/>
  <c r="I7" i="4"/>
  <c r="I6" i="4"/>
  <c r="I25" i="3"/>
  <c r="I23" i="3"/>
  <c r="I21" i="3"/>
  <c r="I20" i="3"/>
  <c r="I19" i="3"/>
  <c r="I18" i="3"/>
  <c r="I17" i="3"/>
  <c r="I16" i="3"/>
  <c r="I15" i="3"/>
  <c r="I14" i="3"/>
  <c r="I13" i="3"/>
  <c r="I12" i="3"/>
  <c r="I11" i="3"/>
  <c r="I9" i="3"/>
  <c r="I8" i="3"/>
  <c r="I7" i="3"/>
  <c r="I6" i="3"/>
  <c r="I10" i="3"/>
  <c r="I23" i="2"/>
  <c r="I21" i="2"/>
  <c r="I20" i="2"/>
  <c r="I19" i="2"/>
  <c r="I18" i="2"/>
  <c r="I17" i="2"/>
  <c r="I16" i="2"/>
  <c r="I13" i="2"/>
  <c r="I12" i="2"/>
  <c r="I11" i="2"/>
  <c r="I10" i="2"/>
  <c r="I9" i="2"/>
  <c r="I6" i="2"/>
  <c r="I15" i="2"/>
  <c r="I14" i="2"/>
  <c r="I8" i="2"/>
  <c r="I7" i="2"/>
  <c r="I31" i="1"/>
  <c r="I29" i="1"/>
  <c r="I33" i="1"/>
  <c r="K27" i="1"/>
  <c r="J27" i="1"/>
  <c r="I27" i="1"/>
  <c r="I25" i="1"/>
  <c r="I23" i="1"/>
  <c r="I21" i="1"/>
  <c r="G15" i="1"/>
  <c r="I14" i="1"/>
  <c r="I8" i="1"/>
  <c r="I9" i="1"/>
  <c r="I10" i="1"/>
  <c r="I11" i="1"/>
  <c r="I12" i="1"/>
  <c r="I13" i="1"/>
  <c r="I15" i="1"/>
  <c r="I16" i="1"/>
  <c r="I17" i="1"/>
  <c r="I18" i="1"/>
  <c r="I19" i="1"/>
  <c r="I20" i="1"/>
  <c r="I7" i="1"/>
  <c r="I6" i="1"/>
  <c r="I27" i="4" l="1"/>
  <c r="K27" i="4" s="1"/>
  <c r="I29" i="4" s="1"/>
  <c r="I27" i="3"/>
  <c r="K27" i="3" s="1"/>
  <c r="I29" i="3" s="1"/>
  <c r="I25" i="2"/>
  <c r="I35" i="1"/>
  <c r="I37" i="1" s="1"/>
  <c r="I35" i="4" l="1"/>
  <c r="I37" i="4" s="1"/>
  <c r="I33" i="4"/>
  <c r="I31" i="4"/>
  <c r="I35" i="3"/>
  <c r="I37" i="3" s="1"/>
  <c r="I33" i="3"/>
  <c r="I31" i="3"/>
  <c r="I27" i="2"/>
  <c r="K27" i="2" s="1"/>
  <c r="I29" i="2" s="1"/>
  <c r="I35" i="2" l="1"/>
  <c r="I37" i="2" s="1"/>
  <c r="I33" i="2"/>
  <c r="I31" i="2"/>
</calcChain>
</file>

<file path=xl/sharedStrings.xml><?xml version="1.0" encoding="utf-8"?>
<sst xmlns="http://schemas.openxmlformats.org/spreadsheetml/2006/main" count="304" uniqueCount="56">
  <si>
    <t>Ingredientes</t>
  </si>
  <si>
    <t>precio unitario</t>
  </si>
  <si>
    <t>cantidad vendida</t>
  </si>
  <si>
    <t>cantidad utilizada</t>
  </si>
  <si>
    <t>Lugar</t>
  </si>
  <si>
    <t>precio final</t>
  </si>
  <si>
    <t>Dispropan</t>
  </si>
  <si>
    <t>Monkfruit</t>
  </si>
  <si>
    <t>unidad</t>
  </si>
  <si>
    <t>TORTA DE COCO PREMIUM 1 BANDEJA - 20 UNIDADES</t>
  </si>
  <si>
    <t>gr</t>
  </si>
  <si>
    <t>Huevo</t>
  </si>
  <si>
    <t>La 79</t>
  </si>
  <si>
    <t>Coco rallado</t>
  </si>
  <si>
    <t>Leche de coco</t>
  </si>
  <si>
    <t>ml</t>
  </si>
  <si>
    <t>Harina de almendras</t>
  </si>
  <si>
    <t>Harina de arroz</t>
  </si>
  <si>
    <t>Aceite</t>
  </si>
  <si>
    <t>Ara</t>
  </si>
  <si>
    <t>Polvo de hornear</t>
  </si>
  <si>
    <t>Bicarbonato</t>
  </si>
  <si>
    <t>Vainilla</t>
  </si>
  <si>
    <t>9cito</t>
  </si>
  <si>
    <t>Propionato de calcio</t>
  </si>
  <si>
    <t>Capacillo</t>
  </si>
  <si>
    <t>Bolsa plástica</t>
  </si>
  <si>
    <t>Empaquétate</t>
  </si>
  <si>
    <t>Papel opalina</t>
  </si>
  <si>
    <t>hojas</t>
  </si>
  <si>
    <t>Centro Arte</t>
  </si>
  <si>
    <t>Servicios</t>
  </si>
  <si>
    <t>Mano de obra</t>
  </si>
  <si>
    <t>unidad2</t>
  </si>
  <si>
    <t>Total costo por bandeja de 20 tortas</t>
  </si>
  <si>
    <t>Total costo por torta individual</t>
  </si>
  <si>
    <t>Total costo individual + 50% = venta distribuidora</t>
  </si>
  <si>
    <t>20 tortas</t>
  </si>
  <si>
    <t>Total ganancia Jhon (mitad de la ganancia por bandeja)</t>
  </si>
  <si>
    <t>GANANCIA TOTAL</t>
  </si>
  <si>
    <t>Total ganancia por tortica (el 50% más) + la diferencia  entre  5600 y 5538</t>
  </si>
  <si>
    <t>Redondeado</t>
  </si>
  <si>
    <t>diferencia</t>
  </si>
  <si>
    <t>En total una bandeja si vendo todos las 20 tortas recibiré</t>
  </si>
  <si>
    <t>Total ganancia Cecilia (mano de obra + la mitad de la ganancia por bandeja)</t>
  </si>
  <si>
    <t>Kumis</t>
  </si>
  <si>
    <t>Limón</t>
  </si>
  <si>
    <t>D1</t>
  </si>
  <si>
    <t>TORTA DE ARÁNDANOS CON LIMÓN PREMIUM 1 BANDEJA - 20 UNIDADES</t>
  </si>
  <si>
    <t>Mantequilla</t>
  </si>
  <si>
    <t>Arándanos</t>
  </si>
  <si>
    <t>TORTA DE ARÁNDANOS CON LIMÓN PLUS 1 BANDEJA - 20 UNIDADES</t>
  </si>
  <si>
    <t>Panela orgánica</t>
  </si>
  <si>
    <t>Olímpica</t>
  </si>
  <si>
    <t>Harina integral</t>
  </si>
  <si>
    <t>TORTA DE COCO PLUS 1 BANDEJA - 20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</si>
</sst>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164" fontId="3" fillId="3" borderId="0" xfId="1" applyNumberFormat="1" applyFont="1" applyFill="1"/>
    <xf numFmtId="0" fontId="3" fillId="3" borderId="0" xfId="0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4" fontId="0" fillId="0" borderId="0" xfId="0" applyNumberFormat="1"/>
    <xf numFmtId="164" fontId="2" fillId="4" borderId="0" xfId="1" applyNumberFormat="1" applyFont="1" applyFill="1"/>
    <xf numFmtId="164" fontId="2" fillId="5" borderId="0" xfId="1" applyNumberFormat="1" applyFont="1" applyFill="1"/>
    <xf numFmtId="0" fontId="2" fillId="5" borderId="0" xfId="0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4" fontId="2" fillId="6" borderId="0" xfId="1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4" fontId="2" fillId="7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6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indent="1"/>
    </xf>
    <xf numFmtId="0" fontId="4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DBCCE-55BC-4EC7-9CD7-27BE35E155B2}" name="Tabla1" displayName="Tabla1" ref="B5:I21" totalsRowShown="0" headerRowDxfId="8">
  <autoFilter ref="B5:I21" xr:uid="{F5CDBCCE-55BC-4EC7-9CD7-27BE35E155B2}"/>
  <tableColumns count="8">
    <tableColumn id="1" xr3:uid="{8EC2579B-737A-4598-9E00-09E07794C0AE}" name="Lugar"/>
    <tableColumn id="2" xr3:uid="{141067D1-4352-4FA4-95A8-D907226EF12F}" name="Ingredientes"/>
    <tableColumn id="3" xr3:uid="{ADC61A85-0CC4-48BF-890B-EFE1DF17DA09}" name="cantidad vendida"/>
    <tableColumn id="4" xr3:uid="{4535863C-7ACB-4615-A584-E792F11CBE22}" name="unidad"/>
    <tableColumn id="5" xr3:uid="{8755A6FB-2AED-484A-B7AE-A1D6BE375566}" name="precio unitario" dataDxfId="7" dataCellStyle="Moneda"/>
    <tableColumn id="6" xr3:uid="{541513ED-8CAE-4F03-A5C7-970E57AA5CC9}" name="cantidad utilizada"/>
    <tableColumn id="7" xr3:uid="{93F71DF6-910E-4421-8975-750219BF275C}" name="unidad2"/>
    <tableColumn id="8" xr3:uid="{BB3EB3E0-78C3-45ED-A497-136C0A4DEBF4}" name="precio final" dataDxfId="6" dataCellStyle="Moneda">
      <calculatedColumnFormula>G6*F6/D6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65F022-BAD3-494B-A7B3-5AE5B3C8482D}" name="Tabla14" displayName="Tabla14" ref="B5:I21" totalsRowShown="0" headerRowDxfId="5">
  <autoFilter ref="B5:I21" xr:uid="{BE65F022-BAD3-494B-A7B3-5AE5B3C8482D}"/>
  <tableColumns count="8">
    <tableColumn id="1" xr3:uid="{6A9BA580-7437-4265-AFF7-5CB9C97A88C6}" name="Lugar"/>
    <tableColumn id="2" xr3:uid="{365ECA70-A39E-4EBC-BF19-61AAF65D64EA}" name="Ingredientes"/>
    <tableColumn id="3" xr3:uid="{D5F3D489-D546-4A62-A26B-DF20AD09E3B2}" name="cantidad vendida"/>
    <tableColumn id="4" xr3:uid="{9F7C986E-C179-49ED-933D-C844B6A56D12}" name="unidad"/>
    <tableColumn id="5" xr3:uid="{ADA71D8C-6381-43BE-ACCC-41BB5590D6B8}" name="precio unitario" dataDxfId="4" dataCellStyle="Moneda"/>
    <tableColumn id="6" xr3:uid="{5850BD18-A6BE-473B-9B10-4762B60DB988}" name="cantidad utilizada"/>
    <tableColumn id="7" xr3:uid="{74F3F731-0521-46D4-B8D7-B76A24AEFC2E}" name="unidad2"/>
    <tableColumn id="8" xr3:uid="{945C6DF0-E01B-47F7-A209-806EC706ABC0}" name="precio final" dataDxfId="3" dataCellStyle="Moneda">
      <calculatedColumnFormula>G6*F6/D6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8D896-DD46-4F74-897B-ADE9DE008CE1}" name="Tabla145" displayName="Tabla145" ref="B5:I21" totalsRowShown="0" headerRowDxfId="2">
  <autoFilter ref="B5:I21" xr:uid="{3E48D896-DD46-4F74-897B-ADE9DE008CE1}"/>
  <tableColumns count="8">
    <tableColumn id="1" xr3:uid="{3BFA8D60-980F-4208-A994-EE38E89F7F6F}" name="Lugar"/>
    <tableColumn id="2" xr3:uid="{4DD9CACC-2D95-4240-B56F-9C124AF7F3A6}" name="Ingredientes"/>
    <tableColumn id="3" xr3:uid="{DE6F3C4A-0DCF-45AB-BB2B-29E8E1225684}" name="cantidad vendida"/>
    <tableColumn id="4" xr3:uid="{D2043120-CB9A-4F84-9D9B-8427A20A787B}" name="unidad"/>
    <tableColumn id="5" xr3:uid="{A48EAE43-AAC1-47D8-9C40-57C518A3FF85}" name="precio unitario" dataDxfId="1" dataCellStyle="Moneda"/>
    <tableColumn id="6" xr3:uid="{4BC23608-A362-4542-8A73-42DEC10CB0BF}" name="cantidad utilizada"/>
    <tableColumn id="7" xr3:uid="{11F6FCD7-E815-4FB8-ADC5-CA88924EA77C}" name="unidad2"/>
    <tableColumn id="8" xr3:uid="{923E726B-262D-465D-AF8F-6ECA4AF3E780}" name="precio final" dataDxfId="0" dataCellStyle="Moneda">
      <calculatedColumnFormula>G6*F6/D6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59D1D8-1F3E-46BF-B0A1-FFEBD83E65B9}" name="Tabla1456" displayName="Tabla1456" ref="B5:I21" totalsRowShown="0" headerRowDxfId="11">
  <autoFilter ref="B5:I21" xr:uid="{2159D1D8-1F3E-46BF-B0A1-FFEBD83E65B9}"/>
  <tableColumns count="8">
    <tableColumn id="1" xr3:uid="{6CE80B45-6491-4925-9D41-D44DB24206B4}" name="Lugar"/>
    <tableColumn id="2" xr3:uid="{346C77EE-5155-43D1-8097-479E74C3811A}" name="Ingredientes"/>
    <tableColumn id="3" xr3:uid="{D767FD30-78D1-4EF4-9632-8999F8448DC6}" name="cantidad vendida"/>
    <tableColumn id="4" xr3:uid="{4B2D760F-C57D-44D1-A263-341D368A3D71}" name="unidad"/>
    <tableColumn id="5" xr3:uid="{DB02F41B-2B7F-4DC3-BC17-D27122DD63B8}" name="precio unitario" dataDxfId="10" dataCellStyle="Moneda"/>
    <tableColumn id="6" xr3:uid="{3A1E03C2-2B1F-46F9-8C03-1F6CB0D27559}" name="cantidad utilizada"/>
    <tableColumn id="7" xr3:uid="{6650568C-EE2C-460F-9232-A7E82A834D40}" name="unidad2"/>
    <tableColumn id="8" xr3:uid="{3550136E-6D4C-4163-AE9E-3EE0F979F8BB}" name="precio final" dataDxfId="9" dataCellStyle="Moneda">
      <calculatedColumnFormula>G6*F6/D6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69B07E-879A-420B-857F-4F3341FB338D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f28c0c79-d273-449d-b03c-f939986b182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1D66-6197-4A62-9609-E9749AF77322}">
  <sheetPr>
    <tabColor rgb="FFFFC000"/>
  </sheetPr>
  <dimension ref="B2:K37"/>
  <sheetViews>
    <sheetView workbookViewId="0">
      <selection activeCell="K14" sqref="K14"/>
    </sheetView>
  </sheetViews>
  <sheetFormatPr baseColWidth="10" defaultRowHeight="14.4" x14ac:dyDescent="0.3"/>
  <cols>
    <col min="1" max="1" width="5.44140625" customWidth="1"/>
    <col min="2" max="2" width="12.109375" customWidth="1"/>
    <col min="3" max="3" width="18" customWidth="1"/>
    <col min="4" max="4" width="17.44140625" customWidth="1"/>
    <col min="5" max="5" width="8.77734375" customWidth="1"/>
    <col min="6" max="6" width="16.44140625" style="1" customWidth="1"/>
    <col min="7" max="7" width="17.6640625" customWidth="1"/>
    <col min="8" max="8" width="9.77734375" customWidth="1"/>
    <col min="9" max="9" width="13.5546875" style="1" customWidth="1"/>
  </cols>
  <sheetData>
    <row r="2" spans="2:9" ht="14.4" customHeight="1" x14ac:dyDescent="0.3">
      <c r="B2" s="17" t="s">
        <v>9</v>
      </c>
      <c r="C2" s="17"/>
      <c r="D2" s="17"/>
      <c r="E2" s="17"/>
      <c r="F2" s="17"/>
      <c r="G2" s="17"/>
      <c r="H2" s="17"/>
      <c r="I2" s="17"/>
    </row>
    <row r="3" spans="2:9" ht="14.4" customHeight="1" x14ac:dyDescent="0.3">
      <c r="B3" s="17"/>
      <c r="C3" s="17"/>
      <c r="D3" s="17"/>
      <c r="E3" s="17"/>
      <c r="F3" s="17"/>
      <c r="G3" s="17"/>
      <c r="H3" s="17"/>
      <c r="I3" s="17"/>
    </row>
    <row r="5" spans="2:9" x14ac:dyDescent="0.3">
      <c r="B5" s="3" t="s">
        <v>4</v>
      </c>
      <c r="C5" s="3" t="s">
        <v>0</v>
      </c>
      <c r="D5" s="3" t="s">
        <v>2</v>
      </c>
      <c r="E5" s="3" t="s">
        <v>8</v>
      </c>
      <c r="F5" s="4" t="s">
        <v>1</v>
      </c>
      <c r="G5" s="3" t="s">
        <v>3</v>
      </c>
      <c r="H5" s="3" t="s">
        <v>33</v>
      </c>
      <c r="I5" s="4" t="s">
        <v>5</v>
      </c>
    </row>
    <row r="6" spans="2:9" x14ac:dyDescent="0.3">
      <c r="B6" t="s">
        <v>6</v>
      </c>
      <c r="C6" t="s">
        <v>7</v>
      </c>
      <c r="D6">
        <v>1000</v>
      </c>
      <c r="E6" t="s">
        <v>10</v>
      </c>
      <c r="F6" s="1">
        <v>72000</v>
      </c>
      <c r="G6">
        <v>280</v>
      </c>
      <c r="H6" t="s">
        <v>10</v>
      </c>
      <c r="I6" s="1">
        <f>G6*F6/D6</f>
        <v>20160</v>
      </c>
    </row>
    <row r="7" spans="2:9" x14ac:dyDescent="0.3">
      <c r="B7" t="s">
        <v>12</v>
      </c>
      <c r="C7" t="s">
        <v>11</v>
      </c>
      <c r="D7">
        <v>1</v>
      </c>
      <c r="F7" s="1">
        <v>700</v>
      </c>
      <c r="G7">
        <v>10</v>
      </c>
      <c r="I7" s="1">
        <f>G7*F7/D7</f>
        <v>7000</v>
      </c>
    </row>
    <row r="8" spans="2:9" x14ac:dyDescent="0.3">
      <c r="B8" t="s">
        <v>6</v>
      </c>
      <c r="C8" t="s">
        <v>13</v>
      </c>
      <c r="D8">
        <v>250</v>
      </c>
      <c r="E8" t="s">
        <v>10</v>
      </c>
      <c r="F8" s="1">
        <v>8750</v>
      </c>
      <c r="G8">
        <v>500</v>
      </c>
      <c r="H8" t="s">
        <v>10</v>
      </c>
      <c r="I8" s="1">
        <f t="shared" ref="I8:I21" si="0">G8*F8/D8</f>
        <v>17500</v>
      </c>
    </row>
    <row r="9" spans="2:9" x14ac:dyDescent="0.3">
      <c r="B9" t="s">
        <v>6</v>
      </c>
      <c r="C9" t="s">
        <v>14</v>
      </c>
      <c r="D9">
        <v>400</v>
      </c>
      <c r="E9" t="s">
        <v>15</v>
      </c>
      <c r="F9" s="1">
        <v>7500</v>
      </c>
      <c r="G9">
        <v>600</v>
      </c>
      <c r="H9" t="s">
        <v>15</v>
      </c>
      <c r="I9" s="1">
        <f t="shared" si="0"/>
        <v>11250</v>
      </c>
    </row>
    <row r="10" spans="2:9" x14ac:dyDescent="0.3">
      <c r="B10" t="s">
        <v>6</v>
      </c>
      <c r="C10" t="s">
        <v>17</v>
      </c>
      <c r="D10">
        <v>500</v>
      </c>
      <c r="E10" t="s">
        <v>10</v>
      </c>
      <c r="F10" s="1">
        <v>3500</v>
      </c>
      <c r="G10">
        <v>140</v>
      </c>
      <c r="H10" t="s">
        <v>10</v>
      </c>
      <c r="I10" s="1">
        <f t="shared" si="0"/>
        <v>980</v>
      </c>
    </row>
    <row r="11" spans="2:9" x14ac:dyDescent="0.3">
      <c r="B11" t="s">
        <v>6</v>
      </c>
      <c r="C11" t="s">
        <v>16</v>
      </c>
      <c r="D11">
        <v>500</v>
      </c>
      <c r="E11" t="s">
        <v>10</v>
      </c>
      <c r="F11" s="1">
        <v>29500</v>
      </c>
      <c r="G11">
        <v>100</v>
      </c>
      <c r="H11" t="s">
        <v>10</v>
      </c>
      <c r="I11" s="1">
        <f t="shared" si="0"/>
        <v>5900</v>
      </c>
    </row>
    <row r="12" spans="2:9" x14ac:dyDescent="0.3">
      <c r="B12" t="s">
        <v>19</v>
      </c>
      <c r="C12" t="s">
        <v>18</v>
      </c>
      <c r="D12">
        <v>900</v>
      </c>
      <c r="E12" t="s">
        <v>15</v>
      </c>
      <c r="F12" s="1">
        <v>7000</v>
      </c>
      <c r="G12">
        <v>52.5</v>
      </c>
      <c r="H12" t="s">
        <v>15</v>
      </c>
      <c r="I12" s="1">
        <f t="shared" si="0"/>
        <v>408.33333333333331</v>
      </c>
    </row>
    <row r="13" spans="2:9" x14ac:dyDescent="0.3">
      <c r="B13" t="s">
        <v>6</v>
      </c>
      <c r="C13" t="s">
        <v>20</v>
      </c>
      <c r="D13">
        <v>250</v>
      </c>
      <c r="E13" t="s">
        <v>10</v>
      </c>
      <c r="F13" s="1">
        <v>2500</v>
      </c>
      <c r="G13">
        <v>27</v>
      </c>
      <c r="H13" t="s">
        <v>10</v>
      </c>
      <c r="I13" s="1">
        <f t="shared" si="0"/>
        <v>270</v>
      </c>
    </row>
    <row r="14" spans="2:9" x14ac:dyDescent="0.3">
      <c r="B14" t="s">
        <v>6</v>
      </c>
      <c r="C14" t="s">
        <v>21</v>
      </c>
      <c r="D14">
        <v>250</v>
      </c>
      <c r="E14" t="s">
        <v>10</v>
      </c>
      <c r="F14" s="1">
        <v>1500</v>
      </c>
      <c r="G14">
        <v>8</v>
      </c>
      <c r="H14" t="s">
        <v>10</v>
      </c>
      <c r="I14" s="1">
        <f t="shared" si="0"/>
        <v>48</v>
      </c>
    </row>
    <row r="15" spans="2:9" x14ac:dyDescent="0.3">
      <c r="B15" t="s">
        <v>23</v>
      </c>
      <c r="C15" t="s">
        <v>22</v>
      </c>
      <c r="D15">
        <v>500</v>
      </c>
      <c r="E15" t="s">
        <v>15</v>
      </c>
      <c r="F15" s="1">
        <v>4000</v>
      </c>
      <c r="G15">
        <f>G13</f>
        <v>27</v>
      </c>
      <c r="H15" t="s">
        <v>15</v>
      </c>
      <c r="I15" s="1">
        <f t="shared" si="0"/>
        <v>216</v>
      </c>
    </row>
    <row r="16" spans="2:9" x14ac:dyDescent="0.3">
      <c r="B16" t="s">
        <v>23</v>
      </c>
      <c r="C16" t="s">
        <v>24</v>
      </c>
      <c r="D16">
        <v>1000</v>
      </c>
      <c r="E16" t="s">
        <v>10</v>
      </c>
      <c r="F16" s="1">
        <v>24500</v>
      </c>
      <c r="G16">
        <v>1</v>
      </c>
      <c r="H16" t="s">
        <v>10</v>
      </c>
      <c r="I16" s="1">
        <f t="shared" si="0"/>
        <v>24.5</v>
      </c>
    </row>
    <row r="17" spans="2:11" x14ac:dyDescent="0.3">
      <c r="B17" t="s">
        <v>6</v>
      </c>
      <c r="C17" t="s">
        <v>25</v>
      </c>
      <c r="D17">
        <v>100</v>
      </c>
      <c r="E17" t="s">
        <v>8</v>
      </c>
      <c r="F17" s="1">
        <v>2500</v>
      </c>
      <c r="G17">
        <v>20</v>
      </c>
      <c r="H17" t="s">
        <v>8</v>
      </c>
      <c r="I17" s="1">
        <f t="shared" si="0"/>
        <v>500</v>
      </c>
    </row>
    <row r="18" spans="2:11" x14ac:dyDescent="0.3">
      <c r="B18" t="s">
        <v>27</v>
      </c>
      <c r="C18" t="s">
        <v>26</v>
      </c>
      <c r="D18">
        <v>100</v>
      </c>
      <c r="E18" t="s">
        <v>8</v>
      </c>
      <c r="F18" s="1">
        <v>7500</v>
      </c>
      <c r="G18">
        <v>20</v>
      </c>
      <c r="H18" t="s">
        <v>8</v>
      </c>
      <c r="I18" s="1">
        <f t="shared" si="0"/>
        <v>1500</v>
      </c>
    </row>
    <row r="19" spans="2:11" x14ac:dyDescent="0.3">
      <c r="B19" t="s">
        <v>30</v>
      </c>
      <c r="C19" t="s">
        <v>28</v>
      </c>
      <c r="D19">
        <v>25</v>
      </c>
      <c r="E19" t="s">
        <v>29</v>
      </c>
      <c r="F19" s="1">
        <v>11000</v>
      </c>
      <c r="G19">
        <v>7</v>
      </c>
      <c r="H19" t="s">
        <v>29</v>
      </c>
      <c r="I19" s="1">
        <f t="shared" si="0"/>
        <v>3080</v>
      </c>
    </row>
    <row r="20" spans="2:11" x14ac:dyDescent="0.3">
      <c r="C20" t="s">
        <v>31</v>
      </c>
      <c r="D20">
        <v>1</v>
      </c>
      <c r="F20" s="1">
        <v>100</v>
      </c>
      <c r="G20">
        <v>20</v>
      </c>
      <c r="I20" s="1">
        <f t="shared" si="0"/>
        <v>2000</v>
      </c>
    </row>
    <row r="21" spans="2:11" x14ac:dyDescent="0.3">
      <c r="C21" t="s">
        <v>32</v>
      </c>
      <c r="D21">
        <v>1</v>
      </c>
      <c r="F21" s="1">
        <v>150</v>
      </c>
      <c r="G21">
        <v>20</v>
      </c>
      <c r="I21" s="1">
        <f t="shared" si="0"/>
        <v>3000</v>
      </c>
    </row>
    <row r="23" spans="2:11" x14ac:dyDescent="0.3">
      <c r="B23" s="16" t="s">
        <v>34</v>
      </c>
      <c r="C23" s="16"/>
      <c r="D23" s="16"/>
      <c r="E23" s="16"/>
      <c r="F23" s="16"/>
      <c r="G23" s="16"/>
      <c r="H23" s="16"/>
      <c r="I23" s="2">
        <f>SUM(I6:I21)</f>
        <v>73836.833333333343</v>
      </c>
    </row>
    <row r="25" spans="2:11" x14ac:dyDescent="0.3">
      <c r="B25" s="14" t="s">
        <v>35</v>
      </c>
      <c r="C25" s="14"/>
      <c r="D25" s="14"/>
      <c r="E25" s="14"/>
      <c r="F25" s="14"/>
      <c r="G25" s="14"/>
      <c r="H25" s="14"/>
      <c r="I25" s="2">
        <f>I23/20</f>
        <v>3691.8416666666672</v>
      </c>
      <c r="J25" s="5"/>
    </row>
    <row r="26" spans="2:11" x14ac:dyDescent="0.3">
      <c r="J26" t="s">
        <v>41</v>
      </c>
      <c r="K26" t="s">
        <v>42</v>
      </c>
    </row>
    <row r="27" spans="2:11" x14ac:dyDescent="0.3">
      <c r="B27" s="14" t="s">
        <v>36</v>
      </c>
      <c r="C27" s="14"/>
      <c r="D27" s="14"/>
      <c r="E27" s="14"/>
      <c r="F27" s="14"/>
      <c r="G27" s="14"/>
      <c r="H27" s="14"/>
      <c r="I27" s="6">
        <f>I25*1.5</f>
        <v>5537.7625000000007</v>
      </c>
      <c r="J27" s="5">
        <f>5600</f>
        <v>5600</v>
      </c>
      <c r="K27" s="5">
        <f>J27-I27</f>
        <v>62.237499999999272</v>
      </c>
    </row>
    <row r="29" spans="2:11" x14ac:dyDescent="0.3">
      <c r="B29" s="14" t="s">
        <v>40</v>
      </c>
      <c r="C29" s="14"/>
      <c r="D29" s="14"/>
      <c r="E29" s="14"/>
      <c r="F29" s="14"/>
      <c r="G29" s="14"/>
      <c r="H29" s="14"/>
      <c r="I29" s="2">
        <f>I25*0.5 +K27</f>
        <v>1908.1583333333328</v>
      </c>
      <c r="J29" t="s">
        <v>37</v>
      </c>
    </row>
    <row r="31" spans="2:11" x14ac:dyDescent="0.3">
      <c r="B31" s="14" t="s">
        <v>44</v>
      </c>
      <c r="C31" s="14"/>
      <c r="D31" s="14"/>
      <c r="E31" s="14"/>
      <c r="F31" s="14"/>
      <c r="G31" s="14"/>
      <c r="H31" s="14"/>
      <c r="I31" s="7">
        <f>I29*20/2+I21</f>
        <v>22081.583333333328</v>
      </c>
      <c r="J31" s="5"/>
    </row>
    <row r="33" spans="2:9" x14ac:dyDescent="0.3">
      <c r="B33" s="14" t="s">
        <v>38</v>
      </c>
      <c r="C33" s="14"/>
      <c r="D33" s="14"/>
      <c r="E33" s="14"/>
      <c r="F33" s="14"/>
      <c r="G33" s="14"/>
      <c r="H33" s="14"/>
      <c r="I33" s="7">
        <f>I29*20/2</f>
        <v>19081.583333333328</v>
      </c>
    </row>
    <row r="35" spans="2:9" x14ac:dyDescent="0.3">
      <c r="B35" s="14" t="s">
        <v>39</v>
      </c>
      <c r="C35" s="14"/>
      <c r="D35" s="14"/>
      <c r="E35" s="14"/>
      <c r="F35" s="14"/>
      <c r="G35" s="14"/>
      <c r="H35" s="14"/>
      <c r="I35" s="7">
        <f>I29*20</f>
        <v>38163.166666666657</v>
      </c>
    </row>
    <row r="37" spans="2:9" x14ac:dyDescent="0.3">
      <c r="B37" s="14" t="s">
        <v>43</v>
      </c>
      <c r="C37" s="14"/>
      <c r="D37" s="14"/>
      <c r="E37" s="14"/>
      <c r="F37" s="14"/>
      <c r="G37" s="14"/>
      <c r="H37" s="14"/>
      <c r="I37" s="2">
        <f>I23+I35</f>
        <v>112000</v>
      </c>
    </row>
  </sheetData>
  <mergeCells count="9">
    <mergeCell ref="B33:H33"/>
    <mergeCell ref="B35:H35"/>
    <mergeCell ref="B37:H37"/>
    <mergeCell ref="B23:H23"/>
    <mergeCell ref="B2:I3"/>
    <mergeCell ref="B25:H25"/>
    <mergeCell ref="B27:H27"/>
    <mergeCell ref="B29:H29"/>
    <mergeCell ref="B31:H3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F905-0554-49FB-9EAB-0872D4E91FA8}">
  <sheetPr>
    <tabColor theme="8"/>
  </sheetPr>
  <dimension ref="B2:K37"/>
  <sheetViews>
    <sheetView workbookViewId="0">
      <selection activeCell="K10" sqref="K10"/>
    </sheetView>
  </sheetViews>
  <sheetFormatPr baseColWidth="10" defaultRowHeight="14.4" x14ac:dyDescent="0.3"/>
  <cols>
    <col min="1" max="1" width="5.77734375" customWidth="1"/>
    <col min="3" max="3" width="18.33203125" customWidth="1"/>
    <col min="4" max="4" width="15" customWidth="1"/>
    <col min="6" max="6" width="15.44140625" customWidth="1"/>
    <col min="7" max="7" width="14.88671875" customWidth="1"/>
  </cols>
  <sheetData>
    <row r="2" spans="2:9" x14ac:dyDescent="0.3">
      <c r="B2" s="18" t="s">
        <v>48</v>
      </c>
      <c r="C2" s="18"/>
      <c r="D2" s="18"/>
      <c r="E2" s="18"/>
      <c r="F2" s="18"/>
      <c r="G2" s="18"/>
      <c r="H2" s="18"/>
      <c r="I2" s="18"/>
    </row>
    <row r="3" spans="2:9" x14ac:dyDescent="0.3">
      <c r="B3" s="18"/>
      <c r="C3" s="18"/>
      <c r="D3" s="18"/>
      <c r="E3" s="18"/>
      <c r="F3" s="18"/>
      <c r="G3" s="18"/>
      <c r="H3" s="18"/>
      <c r="I3" s="18"/>
    </row>
    <row r="4" spans="2:9" x14ac:dyDescent="0.3">
      <c r="F4" s="1"/>
      <c r="I4" s="1"/>
    </row>
    <row r="5" spans="2:9" x14ac:dyDescent="0.3">
      <c r="B5" s="10" t="s">
        <v>4</v>
      </c>
      <c r="C5" s="10" t="s">
        <v>0</v>
      </c>
      <c r="D5" s="10" t="s">
        <v>2</v>
      </c>
      <c r="E5" s="10" t="s">
        <v>8</v>
      </c>
      <c r="F5" s="11" t="s">
        <v>1</v>
      </c>
      <c r="G5" s="10" t="s">
        <v>3</v>
      </c>
      <c r="H5" s="10" t="s">
        <v>33</v>
      </c>
      <c r="I5" s="11" t="s">
        <v>5</v>
      </c>
    </row>
    <row r="6" spans="2:9" x14ac:dyDescent="0.3">
      <c r="B6" t="s">
        <v>12</v>
      </c>
      <c r="C6" t="s">
        <v>11</v>
      </c>
      <c r="D6">
        <v>1</v>
      </c>
      <c r="F6" s="1">
        <v>700</v>
      </c>
      <c r="G6">
        <v>8</v>
      </c>
      <c r="I6" s="1">
        <f>G6*F6/D6</f>
        <v>5600</v>
      </c>
    </row>
    <row r="7" spans="2:9" x14ac:dyDescent="0.3">
      <c r="B7" t="s">
        <v>19</v>
      </c>
      <c r="C7" t="s">
        <v>45</v>
      </c>
      <c r="D7">
        <v>1000</v>
      </c>
      <c r="E7" t="s">
        <v>15</v>
      </c>
      <c r="F7" s="1">
        <v>6750</v>
      </c>
      <c r="G7">
        <v>280</v>
      </c>
      <c r="H7" t="s">
        <v>15</v>
      </c>
      <c r="I7" s="1">
        <f>G7*F7/D7</f>
        <v>1890</v>
      </c>
    </row>
    <row r="8" spans="2:9" x14ac:dyDescent="0.3">
      <c r="B8" t="s">
        <v>47</v>
      </c>
      <c r="C8" t="s">
        <v>46</v>
      </c>
      <c r="D8">
        <v>250</v>
      </c>
      <c r="E8" t="s">
        <v>15</v>
      </c>
      <c r="F8" s="1">
        <v>2300</v>
      </c>
      <c r="G8">
        <v>120</v>
      </c>
      <c r="H8" t="s">
        <v>15</v>
      </c>
      <c r="I8" s="1">
        <f t="shared" ref="I8:I21" si="0">G8*F8/D8</f>
        <v>1104</v>
      </c>
    </row>
    <row r="9" spans="2:9" x14ac:dyDescent="0.3">
      <c r="B9" t="s">
        <v>6</v>
      </c>
      <c r="C9" t="s">
        <v>7</v>
      </c>
      <c r="D9">
        <v>1000</v>
      </c>
      <c r="E9" t="s">
        <v>10</v>
      </c>
      <c r="F9" s="1">
        <v>72000</v>
      </c>
      <c r="G9">
        <v>157</v>
      </c>
      <c r="H9" t="s">
        <v>10</v>
      </c>
      <c r="I9" s="1">
        <f>G9*F9/D9</f>
        <v>11304</v>
      </c>
    </row>
    <row r="10" spans="2:9" x14ac:dyDescent="0.3">
      <c r="B10" t="s">
        <v>6</v>
      </c>
      <c r="C10" t="s">
        <v>17</v>
      </c>
      <c r="D10">
        <v>500</v>
      </c>
      <c r="E10" t="s">
        <v>10</v>
      </c>
      <c r="F10" s="1">
        <v>3500</v>
      </c>
      <c r="G10">
        <v>240</v>
      </c>
      <c r="H10" t="s">
        <v>10</v>
      </c>
      <c r="I10" s="1">
        <f t="shared" ref="I10:I13" si="1">G10*F10/D10</f>
        <v>1680</v>
      </c>
    </row>
    <row r="11" spans="2:9" x14ac:dyDescent="0.3">
      <c r="B11" t="s">
        <v>6</v>
      </c>
      <c r="C11" t="s">
        <v>16</v>
      </c>
      <c r="D11">
        <v>500</v>
      </c>
      <c r="E11" t="s">
        <v>10</v>
      </c>
      <c r="F11" s="1">
        <v>29500</v>
      </c>
      <c r="G11">
        <v>240</v>
      </c>
      <c r="H11" t="s">
        <v>10</v>
      </c>
      <c r="I11" s="1">
        <f t="shared" si="1"/>
        <v>14160</v>
      </c>
    </row>
    <row r="12" spans="2:9" x14ac:dyDescent="0.3">
      <c r="B12" t="s">
        <v>6</v>
      </c>
      <c r="C12" t="s">
        <v>20</v>
      </c>
      <c r="D12">
        <v>250</v>
      </c>
      <c r="E12" t="s">
        <v>10</v>
      </c>
      <c r="F12" s="1">
        <v>2500</v>
      </c>
      <c r="G12">
        <v>30</v>
      </c>
      <c r="H12" t="s">
        <v>10</v>
      </c>
      <c r="I12" s="1">
        <f t="shared" si="1"/>
        <v>300</v>
      </c>
    </row>
    <row r="13" spans="2:9" x14ac:dyDescent="0.3">
      <c r="B13" t="s">
        <v>6</v>
      </c>
      <c r="C13" t="s">
        <v>21</v>
      </c>
      <c r="D13">
        <v>250</v>
      </c>
      <c r="E13" t="s">
        <v>10</v>
      </c>
      <c r="F13" s="1">
        <v>1500</v>
      </c>
      <c r="G13">
        <v>15</v>
      </c>
      <c r="H13" t="s">
        <v>10</v>
      </c>
      <c r="I13" s="1">
        <f t="shared" si="1"/>
        <v>90</v>
      </c>
    </row>
    <row r="14" spans="2:9" x14ac:dyDescent="0.3">
      <c r="B14" t="s">
        <v>6</v>
      </c>
      <c r="C14" t="s">
        <v>49</v>
      </c>
      <c r="D14">
        <v>500</v>
      </c>
      <c r="E14" t="s">
        <v>10</v>
      </c>
      <c r="F14" s="1">
        <v>6200</v>
      </c>
      <c r="G14">
        <v>120</v>
      </c>
      <c r="H14" t="s">
        <v>10</v>
      </c>
      <c r="I14" s="1">
        <f t="shared" si="0"/>
        <v>1488</v>
      </c>
    </row>
    <row r="15" spans="2:9" x14ac:dyDescent="0.3">
      <c r="B15" t="s">
        <v>6</v>
      </c>
      <c r="C15" t="s">
        <v>50</v>
      </c>
      <c r="D15">
        <v>500</v>
      </c>
      <c r="E15" t="s">
        <v>10</v>
      </c>
      <c r="F15" s="1">
        <v>17000</v>
      </c>
      <c r="G15">
        <v>240</v>
      </c>
      <c r="H15" t="s">
        <v>10</v>
      </c>
      <c r="I15" s="1">
        <f t="shared" si="0"/>
        <v>8160</v>
      </c>
    </row>
    <row r="16" spans="2:9" x14ac:dyDescent="0.3">
      <c r="B16" t="s">
        <v>23</v>
      </c>
      <c r="C16" t="s">
        <v>24</v>
      </c>
      <c r="D16">
        <v>1000</v>
      </c>
      <c r="E16" t="s">
        <v>10</v>
      </c>
      <c r="F16" s="1">
        <v>24500</v>
      </c>
      <c r="G16">
        <v>1</v>
      </c>
      <c r="H16" t="s">
        <v>10</v>
      </c>
      <c r="I16" s="1">
        <f t="shared" si="0"/>
        <v>24.5</v>
      </c>
    </row>
    <row r="17" spans="2:11" x14ac:dyDescent="0.3">
      <c r="B17" t="s">
        <v>6</v>
      </c>
      <c r="C17" t="s">
        <v>25</v>
      </c>
      <c r="D17">
        <v>100</v>
      </c>
      <c r="E17" t="s">
        <v>8</v>
      </c>
      <c r="F17" s="1">
        <v>2500</v>
      </c>
      <c r="G17">
        <v>20</v>
      </c>
      <c r="H17" t="s">
        <v>8</v>
      </c>
      <c r="I17" s="1">
        <f t="shared" si="0"/>
        <v>500</v>
      </c>
    </row>
    <row r="18" spans="2:11" x14ac:dyDescent="0.3">
      <c r="B18" t="s">
        <v>27</v>
      </c>
      <c r="C18" t="s">
        <v>26</v>
      </c>
      <c r="D18">
        <v>100</v>
      </c>
      <c r="E18" t="s">
        <v>8</v>
      </c>
      <c r="F18" s="1">
        <v>7500</v>
      </c>
      <c r="G18">
        <v>20</v>
      </c>
      <c r="H18" t="s">
        <v>8</v>
      </c>
      <c r="I18" s="1">
        <f t="shared" si="0"/>
        <v>1500</v>
      </c>
    </row>
    <row r="19" spans="2:11" x14ac:dyDescent="0.3">
      <c r="B19" t="s">
        <v>30</v>
      </c>
      <c r="C19" t="s">
        <v>28</v>
      </c>
      <c r="D19">
        <v>25</v>
      </c>
      <c r="E19" t="s">
        <v>29</v>
      </c>
      <c r="F19" s="1">
        <v>11000</v>
      </c>
      <c r="G19">
        <v>7</v>
      </c>
      <c r="H19" t="s">
        <v>29</v>
      </c>
      <c r="I19" s="1">
        <f t="shared" si="0"/>
        <v>3080</v>
      </c>
    </row>
    <row r="20" spans="2:11" x14ac:dyDescent="0.3">
      <c r="C20" t="s">
        <v>31</v>
      </c>
      <c r="D20">
        <v>1</v>
      </c>
      <c r="F20" s="1">
        <v>100</v>
      </c>
      <c r="G20">
        <v>20</v>
      </c>
      <c r="I20" s="1">
        <f t="shared" si="0"/>
        <v>2000</v>
      </c>
    </row>
    <row r="21" spans="2:11" x14ac:dyDescent="0.3">
      <c r="C21" t="s">
        <v>32</v>
      </c>
      <c r="D21">
        <v>1</v>
      </c>
      <c r="F21" s="1">
        <v>150</v>
      </c>
      <c r="G21">
        <v>20</v>
      </c>
      <c r="I21" s="1">
        <f t="shared" si="0"/>
        <v>3000</v>
      </c>
    </row>
    <row r="23" spans="2:11" x14ac:dyDescent="0.3">
      <c r="B23" s="16" t="s">
        <v>34</v>
      </c>
      <c r="C23" s="16"/>
      <c r="D23" s="16"/>
      <c r="E23" s="16"/>
      <c r="F23" s="16"/>
      <c r="G23" s="16"/>
      <c r="H23" s="16"/>
      <c r="I23" s="2">
        <f>SUM(I6:I21)</f>
        <v>55880.5</v>
      </c>
    </row>
    <row r="24" spans="2:11" x14ac:dyDescent="0.3">
      <c r="F24" s="1"/>
      <c r="I24" s="1"/>
    </row>
    <row r="25" spans="2:11" x14ac:dyDescent="0.3">
      <c r="B25" s="14" t="s">
        <v>35</v>
      </c>
      <c r="C25" s="14"/>
      <c r="D25" s="14"/>
      <c r="E25" s="14"/>
      <c r="F25" s="14"/>
      <c r="G25" s="14"/>
      <c r="H25" s="14"/>
      <c r="I25" s="2">
        <f>I23/20</f>
        <v>2794.0250000000001</v>
      </c>
      <c r="J25" s="5"/>
    </row>
    <row r="26" spans="2:11" x14ac:dyDescent="0.3">
      <c r="F26" s="1"/>
      <c r="I26" s="1"/>
      <c r="J26" t="s">
        <v>41</v>
      </c>
      <c r="K26" t="s">
        <v>42</v>
      </c>
    </row>
    <row r="27" spans="2:11" x14ac:dyDescent="0.3">
      <c r="B27" s="14" t="s">
        <v>36</v>
      </c>
      <c r="C27" s="14"/>
      <c r="D27" s="14"/>
      <c r="E27" s="14"/>
      <c r="F27" s="14"/>
      <c r="G27" s="14"/>
      <c r="H27" s="14"/>
      <c r="I27" s="6">
        <f>I25*1.5</f>
        <v>4191.0375000000004</v>
      </c>
      <c r="J27" s="5">
        <v>4200</v>
      </c>
      <c r="K27" s="5">
        <f>J27-I27</f>
        <v>8.9624999999996362</v>
      </c>
    </row>
    <row r="28" spans="2:11" x14ac:dyDescent="0.3">
      <c r="F28" s="1"/>
      <c r="I28" s="1"/>
    </row>
    <row r="29" spans="2:11" x14ac:dyDescent="0.3">
      <c r="B29" s="14" t="s">
        <v>40</v>
      </c>
      <c r="C29" s="14"/>
      <c r="D29" s="14"/>
      <c r="E29" s="14"/>
      <c r="F29" s="14"/>
      <c r="G29" s="14"/>
      <c r="H29" s="14"/>
      <c r="I29" s="2">
        <f>I25*0.5 +K27</f>
        <v>1405.9749999999997</v>
      </c>
      <c r="J29" t="s">
        <v>37</v>
      </c>
    </row>
    <row r="30" spans="2:11" x14ac:dyDescent="0.3">
      <c r="F30" s="1"/>
      <c r="I30" s="1"/>
    </row>
    <row r="31" spans="2:11" x14ac:dyDescent="0.3">
      <c r="B31" s="14" t="s">
        <v>44</v>
      </c>
      <c r="C31" s="14"/>
      <c r="D31" s="14"/>
      <c r="E31" s="14"/>
      <c r="F31" s="14"/>
      <c r="G31" s="14"/>
      <c r="H31" s="14"/>
      <c r="I31" s="7">
        <f>I29*20/2+I21</f>
        <v>17059.749999999996</v>
      </c>
      <c r="J31" s="5"/>
    </row>
    <row r="32" spans="2:11" x14ac:dyDescent="0.3">
      <c r="F32" s="1"/>
      <c r="I32" s="1"/>
    </row>
    <row r="33" spans="2:9" x14ac:dyDescent="0.3">
      <c r="B33" s="14" t="s">
        <v>38</v>
      </c>
      <c r="C33" s="14"/>
      <c r="D33" s="14"/>
      <c r="E33" s="14"/>
      <c r="F33" s="14"/>
      <c r="G33" s="14"/>
      <c r="H33" s="14"/>
      <c r="I33" s="7">
        <f>I29*20/2</f>
        <v>14059.749999999996</v>
      </c>
    </row>
    <row r="34" spans="2:9" x14ac:dyDescent="0.3">
      <c r="F34" s="1"/>
      <c r="I34" s="1"/>
    </row>
    <row r="35" spans="2:9" x14ac:dyDescent="0.3">
      <c r="B35" s="14" t="s">
        <v>39</v>
      </c>
      <c r="C35" s="14"/>
      <c r="D35" s="14"/>
      <c r="E35" s="14"/>
      <c r="F35" s="14"/>
      <c r="G35" s="14"/>
      <c r="H35" s="14"/>
      <c r="I35" s="7">
        <f>I29*20</f>
        <v>28119.499999999993</v>
      </c>
    </row>
    <row r="36" spans="2:9" x14ac:dyDescent="0.3">
      <c r="F36" s="1"/>
      <c r="I36" s="1"/>
    </row>
    <row r="37" spans="2:9" x14ac:dyDescent="0.3">
      <c r="B37" s="14" t="s">
        <v>43</v>
      </c>
      <c r="C37" s="14"/>
      <c r="D37" s="14"/>
      <c r="E37" s="14"/>
      <c r="F37" s="14"/>
      <c r="G37" s="14"/>
      <c r="H37" s="14"/>
      <c r="I37" s="2">
        <f>I23+I35</f>
        <v>84000</v>
      </c>
    </row>
  </sheetData>
  <mergeCells count="9">
    <mergeCell ref="B31:H31"/>
    <mergeCell ref="B33:H33"/>
    <mergeCell ref="B35:H35"/>
    <mergeCell ref="B37:H37"/>
    <mergeCell ref="B2:I3"/>
    <mergeCell ref="B23:H23"/>
    <mergeCell ref="B25:H25"/>
    <mergeCell ref="B27:H27"/>
    <mergeCell ref="B29:H2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8B7E-F308-4B12-92CF-C64CCB6E3700}">
  <sheetPr>
    <tabColor theme="9"/>
  </sheetPr>
  <dimension ref="B2:K37"/>
  <sheetViews>
    <sheetView workbookViewId="0">
      <selection activeCell="K15" sqref="K15"/>
    </sheetView>
  </sheetViews>
  <sheetFormatPr baseColWidth="10" defaultRowHeight="14.4" x14ac:dyDescent="0.3"/>
  <cols>
    <col min="1" max="1" width="6.5546875" customWidth="1"/>
    <col min="3" max="3" width="17.33203125" customWidth="1"/>
    <col min="4" max="4" width="17" customWidth="1"/>
    <col min="6" max="6" width="13.5546875" customWidth="1"/>
    <col min="7" max="7" width="15.44140625" customWidth="1"/>
  </cols>
  <sheetData>
    <row r="2" spans="2:9" x14ac:dyDescent="0.3">
      <c r="B2" s="19" t="s">
        <v>51</v>
      </c>
      <c r="C2" s="19"/>
      <c r="D2" s="19"/>
      <c r="E2" s="19"/>
      <c r="F2" s="19"/>
      <c r="G2" s="19"/>
      <c r="H2" s="19"/>
      <c r="I2" s="19"/>
    </row>
    <row r="3" spans="2:9" x14ac:dyDescent="0.3">
      <c r="B3" s="19"/>
      <c r="C3" s="19"/>
      <c r="D3" s="19"/>
      <c r="E3" s="19"/>
      <c r="F3" s="19"/>
      <c r="G3" s="19"/>
      <c r="H3" s="19"/>
      <c r="I3" s="19"/>
    </row>
    <row r="4" spans="2:9" x14ac:dyDescent="0.3">
      <c r="F4" s="1"/>
      <c r="I4" s="1"/>
    </row>
    <row r="5" spans="2:9" x14ac:dyDescent="0.3">
      <c r="B5" s="8" t="s">
        <v>4</v>
      </c>
      <c r="C5" s="8" t="s">
        <v>0</v>
      </c>
      <c r="D5" s="8" t="s">
        <v>2</v>
      </c>
      <c r="E5" s="8" t="s">
        <v>8</v>
      </c>
      <c r="F5" s="9" t="s">
        <v>1</v>
      </c>
      <c r="G5" s="8" t="s">
        <v>3</v>
      </c>
      <c r="H5" s="8" t="s">
        <v>33</v>
      </c>
      <c r="I5" s="9" t="s">
        <v>5</v>
      </c>
    </row>
    <row r="6" spans="2:9" x14ac:dyDescent="0.3">
      <c r="B6" t="s">
        <v>12</v>
      </c>
      <c r="C6" t="s">
        <v>11</v>
      </c>
      <c r="D6">
        <v>1</v>
      </c>
      <c r="F6" s="1">
        <v>700</v>
      </c>
      <c r="G6">
        <v>8</v>
      </c>
      <c r="I6" s="1">
        <f>G6*F6/D6</f>
        <v>5600</v>
      </c>
    </row>
    <row r="7" spans="2:9" x14ac:dyDescent="0.3">
      <c r="B7" t="s">
        <v>19</v>
      </c>
      <c r="C7" t="s">
        <v>45</v>
      </c>
      <c r="D7">
        <v>1000</v>
      </c>
      <c r="E7" t="s">
        <v>15</v>
      </c>
      <c r="F7" s="1">
        <v>6750</v>
      </c>
      <c r="G7">
        <v>280</v>
      </c>
      <c r="H7" t="s">
        <v>15</v>
      </c>
      <c r="I7" s="1">
        <f>G7*F7/D7</f>
        <v>1890</v>
      </c>
    </row>
    <row r="8" spans="2:9" x14ac:dyDescent="0.3">
      <c r="B8" t="s">
        <v>47</v>
      </c>
      <c r="C8" t="s">
        <v>46</v>
      </c>
      <c r="D8">
        <v>250</v>
      </c>
      <c r="E8" t="s">
        <v>15</v>
      </c>
      <c r="F8" s="1">
        <v>2300</v>
      </c>
      <c r="G8">
        <v>120</v>
      </c>
      <c r="H8" t="s">
        <v>15</v>
      </c>
      <c r="I8" s="1">
        <f t="shared" ref="I8" si="0">G8*F8/D8</f>
        <v>1104</v>
      </c>
    </row>
    <row r="9" spans="2:9" x14ac:dyDescent="0.3">
      <c r="B9" t="s">
        <v>53</v>
      </c>
      <c r="C9" t="s">
        <v>52</v>
      </c>
      <c r="D9">
        <v>500</v>
      </c>
      <c r="E9" t="s">
        <v>10</v>
      </c>
      <c r="F9" s="1">
        <v>8000</v>
      </c>
      <c r="G9">
        <v>360</v>
      </c>
      <c r="H9" t="s">
        <v>10</v>
      </c>
      <c r="I9" s="1">
        <f>G9*F9/D9</f>
        <v>5760</v>
      </c>
    </row>
    <row r="10" spans="2:9" x14ac:dyDescent="0.3">
      <c r="B10" t="s">
        <v>23</v>
      </c>
      <c r="C10" t="s">
        <v>54</v>
      </c>
      <c r="D10">
        <v>1000</v>
      </c>
      <c r="E10" t="s">
        <v>10</v>
      </c>
      <c r="F10" s="1">
        <v>3500</v>
      </c>
      <c r="G10">
        <v>300</v>
      </c>
      <c r="H10" t="s">
        <v>10</v>
      </c>
      <c r="I10" s="1">
        <f t="shared" ref="I10:I21" si="1">G10*F10/D10</f>
        <v>1050</v>
      </c>
    </row>
    <row r="11" spans="2:9" x14ac:dyDescent="0.3">
      <c r="B11" t="s">
        <v>6</v>
      </c>
      <c r="C11" t="s">
        <v>16</v>
      </c>
      <c r="D11">
        <v>500</v>
      </c>
      <c r="E11" t="s">
        <v>10</v>
      </c>
      <c r="F11" s="1">
        <v>29500</v>
      </c>
      <c r="G11">
        <v>60</v>
      </c>
      <c r="H11" t="s">
        <v>10</v>
      </c>
      <c r="I11" s="1">
        <f t="shared" si="1"/>
        <v>3540</v>
      </c>
    </row>
    <row r="12" spans="2:9" x14ac:dyDescent="0.3">
      <c r="B12" t="s">
        <v>6</v>
      </c>
      <c r="C12" t="s">
        <v>49</v>
      </c>
      <c r="D12">
        <v>500</v>
      </c>
      <c r="E12" t="s">
        <v>10</v>
      </c>
      <c r="F12" s="1">
        <v>6200</v>
      </c>
      <c r="G12">
        <v>120</v>
      </c>
      <c r="H12" t="s">
        <v>10</v>
      </c>
      <c r="I12" s="1">
        <f t="shared" si="1"/>
        <v>1488</v>
      </c>
    </row>
    <row r="13" spans="2:9" x14ac:dyDescent="0.3">
      <c r="B13" t="s">
        <v>6</v>
      </c>
      <c r="C13" t="s">
        <v>50</v>
      </c>
      <c r="D13">
        <v>500</v>
      </c>
      <c r="E13" t="s">
        <v>10</v>
      </c>
      <c r="F13" s="1">
        <v>17000</v>
      </c>
      <c r="G13">
        <v>240</v>
      </c>
      <c r="H13" t="s">
        <v>10</v>
      </c>
      <c r="I13" s="1">
        <f t="shared" si="1"/>
        <v>8160</v>
      </c>
    </row>
    <row r="14" spans="2:9" x14ac:dyDescent="0.3">
      <c r="B14" t="s">
        <v>6</v>
      </c>
      <c r="C14" t="s">
        <v>20</v>
      </c>
      <c r="D14">
        <v>250</v>
      </c>
      <c r="E14" t="s">
        <v>10</v>
      </c>
      <c r="F14" s="1">
        <v>2500</v>
      </c>
      <c r="G14">
        <v>15</v>
      </c>
      <c r="H14" t="s">
        <v>10</v>
      </c>
      <c r="I14" s="1">
        <f t="shared" si="1"/>
        <v>150</v>
      </c>
    </row>
    <row r="15" spans="2:9" x14ac:dyDescent="0.3">
      <c r="B15" t="s">
        <v>6</v>
      </c>
      <c r="C15" t="s">
        <v>21</v>
      </c>
      <c r="D15">
        <v>250</v>
      </c>
      <c r="E15" t="s">
        <v>10</v>
      </c>
      <c r="F15" s="1">
        <v>1500</v>
      </c>
      <c r="G15">
        <v>15</v>
      </c>
      <c r="H15" t="s">
        <v>10</v>
      </c>
      <c r="I15" s="1">
        <f t="shared" si="1"/>
        <v>90</v>
      </c>
    </row>
    <row r="16" spans="2:9" x14ac:dyDescent="0.3">
      <c r="B16" t="s">
        <v>23</v>
      </c>
      <c r="C16" t="s">
        <v>24</v>
      </c>
      <c r="D16">
        <v>1000</v>
      </c>
      <c r="E16" t="s">
        <v>10</v>
      </c>
      <c r="F16" s="1">
        <v>24500</v>
      </c>
      <c r="G16">
        <v>1</v>
      </c>
      <c r="H16" t="s">
        <v>10</v>
      </c>
      <c r="I16" s="1">
        <f t="shared" si="1"/>
        <v>24.5</v>
      </c>
    </row>
    <row r="17" spans="2:11" x14ac:dyDescent="0.3">
      <c r="B17" t="s">
        <v>6</v>
      </c>
      <c r="C17" t="s">
        <v>25</v>
      </c>
      <c r="D17">
        <v>100</v>
      </c>
      <c r="E17" t="s">
        <v>8</v>
      </c>
      <c r="F17" s="1">
        <v>2500</v>
      </c>
      <c r="G17">
        <v>20</v>
      </c>
      <c r="H17" t="s">
        <v>8</v>
      </c>
      <c r="I17" s="1">
        <f t="shared" si="1"/>
        <v>500</v>
      </c>
    </row>
    <row r="18" spans="2:11" x14ac:dyDescent="0.3">
      <c r="B18" t="s">
        <v>27</v>
      </c>
      <c r="C18" t="s">
        <v>26</v>
      </c>
      <c r="D18">
        <v>100</v>
      </c>
      <c r="E18" t="s">
        <v>8</v>
      </c>
      <c r="F18" s="1">
        <v>7500</v>
      </c>
      <c r="G18">
        <v>20</v>
      </c>
      <c r="H18" t="s">
        <v>8</v>
      </c>
      <c r="I18" s="1">
        <f t="shared" si="1"/>
        <v>1500</v>
      </c>
    </row>
    <row r="19" spans="2:11" x14ac:dyDescent="0.3">
      <c r="B19" t="s">
        <v>30</v>
      </c>
      <c r="C19" t="s">
        <v>28</v>
      </c>
      <c r="D19">
        <v>25</v>
      </c>
      <c r="E19" t="s">
        <v>29</v>
      </c>
      <c r="F19" s="1">
        <v>11000</v>
      </c>
      <c r="G19">
        <v>7</v>
      </c>
      <c r="H19" t="s">
        <v>29</v>
      </c>
      <c r="I19" s="1">
        <f t="shared" si="1"/>
        <v>3080</v>
      </c>
    </row>
    <row r="20" spans="2:11" x14ac:dyDescent="0.3">
      <c r="C20" t="s">
        <v>31</v>
      </c>
      <c r="D20">
        <v>1</v>
      </c>
      <c r="F20" s="1">
        <v>100</v>
      </c>
      <c r="G20">
        <v>20</v>
      </c>
      <c r="I20" s="1">
        <f t="shared" si="1"/>
        <v>2000</v>
      </c>
    </row>
    <row r="21" spans="2:11" x14ac:dyDescent="0.3">
      <c r="C21" t="s">
        <v>32</v>
      </c>
      <c r="D21">
        <v>1</v>
      </c>
      <c r="F21" s="1">
        <v>150</v>
      </c>
      <c r="G21">
        <v>20</v>
      </c>
      <c r="I21" s="1">
        <f t="shared" si="1"/>
        <v>3000</v>
      </c>
    </row>
    <row r="23" spans="2:11" x14ac:dyDescent="0.3">
      <c r="B23" s="16" t="s">
        <v>34</v>
      </c>
      <c r="C23" s="16"/>
      <c r="D23" s="16"/>
      <c r="E23" s="16"/>
      <c r="F23" s="16"/>
      <c r="G23" s="16"/>
      <c r="H23" s="16"/>
      <c r="I23" s="2">
        <f>SUM(I6:I21)</f>
        <v>38936.5</v>
      </c>
    </row>
    <row r="24" spans="2:11" x14ac:dyDescent="0.3">
      <c r="F24" s="1"/>
      <c r="I24" s="1"/>
    </row>
    <row r="25" spans="2:11" x14ac:dyDescent="0.3">
      <c r="B25" s="14" t="s">
        <v>35</v>
      </c>
      <c r="C25" s="14"/>
      <c r="D25" s="14"/>
      <c r="E25" s="14"/>
      <c r="F25" s="14"/>
      <c r="G25" s="14"/>
      <c r="H25" s="14"/>
      <c r="I25" s="2">
        <f>I23/20</f>
        <v>1946.825</v>
      </c>
      <c r="J25" s="5"/>
    </row>
    <row r="26" spans="2:11" x14ac:dyDescent="0.3">
      <c r="F26" s="1"/>
      <c r="I26" s="1"/>
      <c r="J26" t="s">
        <v>41</v>
      </c>
      <c r="K26" t="s">
        <v>42</v>
      </c>
    </row>
    <row r="27" spans="2:11" x14ac:dyDescent="0.3">
      <c r="B27" s="14" t="s">
        <v>36</v>
      </c>
      <c r="C27" s="14"/>
      <c r="D27" s="14"/>
      <c r="E27" s="14"/>
      <c r="F27" s="14"/>
      <c r="G27" s="14"/>
      <c r="H27" s="14"/>
      <c r="I27" s="6">
        <f>I25*1.5</f>
        <v>2920.2375000000002</v>
      </c>
      <c r="J27" s="5">
        <v>3000</v>
      </c>
      <c r="K27" s="5">
        <f>J27-I27</f>
        <v>79.762499999999818</v>
      </c>
    </row>
    <row r="28" spans="2:11" x14ac:dyDescent="0.3">
      <c r="F28" s="1"/>
      <c r="I28" s="1"/>
    </row>
    <row r="29" spans="2:11" x14ac:dyDescent="0.3">
      <c r="B29" s="14" t="s">
        <v>40</v>
      </c>
      <c r="C29" s="14"/>
      <c r="D29" s="14"/>
      <c r="E29" s="14"/>
      <c r="F29" s="14"/>
      <c r="G29" s="14"/>
      <c r="H29" s="14"/>
      <c r="I29" s="2">
        <f>I25*0.5 +K27</f>
        <v>1053.1749999999997</v>
      </c>
      <c r="J29" t="s">
        <v>37</v>
      </c>
    </row>
    <row r="30" spans="2:11" x14ac:dyDescent="0.3">
      <c r="F30" s="1"/>
      <c r="I30" s="1"/>
    </row>
    <row r="31" spans="2:11" x14ac:dyDescent="0.3">
      <c r="B31" s="14" t="s">
        <v>44</v>
      </c>
      <c r="C31" s="14"/>
      <c r="D31" s="14"/>
      <c r="E31" s="14"/>
      <c r="F31" s="14"/>
      <c r="G31" s="14"/>
      <c r="H31" s="14"/>
      <c r="I31" s="7">
        <f>I29*20/2+I21</f>
        <v>13531.749999999996</v>
      </c>
      <c r="J31" s="5"/>
    </row>
    <row r="32" spans="2:11" x14ac:dyDescent="0.3">
      <c r="F32" s="1"/>
      <c r="I32" s="1"/>
    </row>
    <row r="33" spans="2:9" x14ac:dyDescent="0.3">
      <c r="B33" s="14" t="s">
        <v>38</v>
      </c>
      <c r="C33" s="14"/>
      <c r="D33" s="14"/>
      <c r="E33" s="14"/>
      <c r="F33" s="14"/>
      <c r="G33" s="14"/>
      <c r="H33" s="14"/>
      <c r="I33" s="7">
        <f>I29*20/2</f>
        <v>10531.749999999996</v>
      </c>
    </row>
    <row r="34" spans="2:9" x14ac:dyDescent="0.3">
      <c r="F34" s="1"/>
      <c r="I34" s="1"/>
    </row>
    <row r="35" spans="2:9" x14ac:dyDescent="0.3">
      <c r="B35" s="14" t="s">
        <v>39</v>
      </c>
      <c r="C35" s="14"/>
      <c r="D35" s="14"/>
      <c r="E35" s="14"/>
      <c r="F35" s="14"/>
      <c r="G35" s="14"/>
      <c r="H35" s="14"/>
      <c r="I35" s="7">
        <f>I29*20</f>
        <v>21063.499999999993</v>
      </c>
    </row>
    <row r="36" spans="2:9" x14ac:dyDescent="0.3">
      <c r="F36" s="1"/>
      <c r="I36" s="1"/>
    </row>
    <row r="37" spans="2:9" x14ac:dyDescent="0.3">
      <c r="B37" s="14" t="s">
        <v>43</v>
      </c>
      <c r="C37" s="14"/>
      <c r="D37" s="14"/>
      <c r="E37" s="14"/>
      <c r="F37" s="14"/>
      <c r="G37" s="14"/>
      <c r="H37" s="14"/>
      <c r="I37" s="2">
        <f>I23+I35</f>
        <v>59999.999999999993</v>
      </c>
    </row>
  </sheetData>
  <mergeCells count="9">
    <mergeCell ref="B33:H33"/>
    <mergeCell ref="B35:H35"/>
    <mergeCell ref="B37:H37"/>
    <mergeCell ref="B2:I3"/>
    <mergeCell ref="B23:H23"/>
    <mergeCell ref="B25:H25"/>
    <mergeCell ref="B27:H27"/>
    <mergeCell ref="B29:H29"/>
    <mergeCell ref="B31:H3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5F1D-CBFD-41E8-9EAE-CB6071E7B9FF}">
  <sheetPr>
    <tabColor theme="5"/>
  </sheetPr>
  <dimension ref="B2:K37"/>
  <sheetViews>
    <sheetView tabSelected="1" workbookViewId="0">
      <selection activeCell="K30" sqref="K30"/>
    </sheetView>
  </sheetViews>
  <sheetFormatPr baseColWidth="10" defaultRowHeight="14.4" x14ac:dyDescent="0.3"/>
  <cols>
    <col min="1" max="1" width="5.44140625" customWidth="1"/>
    <col min="3" max="3" width="18.33203125" customWidth="1"/>
    <col min="4" max="4" width="17.109375" customWidth="1"/>
    <col min="6" max="6" width="15" customWidth="1"/>
    <col min="7" max="7" width="15.33203125" customWidth="1"/>
  </cols>
  <sheetData>
    <row r="2" spans="2:9" x14ac:dyDescent="0.3">
      <c r="B2" s="15" t="s">
        <v>55</v>
      </c>
      <c r="C2" s="15"/>
      <c r="D2" s="15"/>
      <c r="E2" s="15"/>
      <c r="F2" s="15"/>
      <c r="G2" s="15"/>
      <c r="H2" s="15"/>
      <c r="I2" s="15"/>
    </row>
    <row r="3" spans="2:9" x14ac:dyDescent="0.3">
      <c r="B3" s="15"/>
      <c r="C3" s="15"/>
      <c r="D3" s="15"/>
      <c r="E3" s="15"/>
      <c r="F3" s="15"/>
      <c r="G3" s="15"/>
      <c r="H3" s="15"/>
      <c r="I3" s="15"/>
    </row>
    <row r="4" spans="2:9" x14ac:dyDescent="0.3">
      <c r="F4" s="1"/>
      <c r="I4" s="1"/>
    </row>
    <row r="5" spans="2:9" x14ac:dyDescent="0.3">
      <c r="B5" s="12" t="s">
        <v>4</v>
      </c>
      <c r="C5" s="12" t="s">
        <v>0</v>
      </c>
      <c r="D5" s="12" t="s">
        <v>2</v>
      </c>
      <c r="E5" s="12" t="s">
        <v>8</v>
      </c>
      <c r="F5" s="13" t="s">
        <v>1</v>
      </c>
      <c r="G5" s="12" t="s">
        <v>3</v>
      </c>
      <c r="H5" s="12" t="s">
        <v>33</v>
      </c>
      <c r="I5" s="13" t="s">
        <v>5</v>
      </c>
    </row>
    <row r="6" spans="2:9" x14ac:dyDescent="0.3">
      <c r="B6" t="s">
        <v>12</v>
      </c>
      <c r="C6" t="s">
        <v>11</v>
      </c>
      <c r="D6">
        <v>1</v>
      </c>
      <c r="F6" s="1">
        <v>700</v>
      </c>
      <c r="G6">
        <v>9</v>
      </c>
      <c r="I6" s="1">
        <f>G6*F6/D6</f>
        <v>6300</v>
      </c>
    </row>
    <row r="7" spans="2:9" x14ac:dyDescent="0.3">
      <c r="B7" t="s">
        <v>53</v>
      </c>
      <c r="C7" t="s">
        <v>52</v>
      </c>
      <c r="D7">
        <v>500</v>
      </c>
      <c r="E7" t="s">
        <v>10</v>
      </c>
      <c r="F7" s="1">
        <v>8000</v>
      </c>
      <c r="G7">
        <v>300</v>
      </c>
      <c r="H7" t="s">
        <v>10</v>
      </c>
      <c r="I7" s="1">
        <f>G7*F7/D7</f>
        <v>4800</v>
      </c>
    </row>
    <row r="8" spans="2:9" x14ac:dyDescent="0.3">
      <c r="B8" t="s">
        <v>6</v>
      </c>
      <c r="C8" t="s">
        <v>13</v>
      </c>
      <c r="D8">
        <v>250</v>
      </c>
      <c r="E8" t="s">
        <v>10</v>
      </c>
      <c r="F8" s="1">
        <v>8750</v>
      </c>
      <c r="G8">
        <v>250</v>
      </c>
      <c r="H8" t="s">
        <v>10</v>
      </c>
      <c r="I8" s="1">
        <f t="shared" ref="I8:I21" si="0">G8*F8/D8</f>
        <v>8750</v>
      </c>
    </row>
    <row r="9" spans="2:9" x14ac:dyDescent="0.3">
      <c r="B9" t="s">
        <v>23</v>
      </c>
      <c r="C9" t="s">
        <v>54</v>
      </c>
      <c r="D9">
        <v>1000</v>
      </c>
      <c r="E9" t="s">
        <v>10</v>
      </c>
      <c r="F9" s="1">
        <v>3500</v>
      </c>
      <c r="G9">
        <v>200</v>
      </c>
      <c r="H9" t="s">
        <v>10</v>
      </c>
      <c r="I9" s="1">
        <f t="shared" si="0"/>
        <v>700</v>
      </c>
    </row>
    <row r="10" spans="2:9" x14ac:dyDescent="0.3">
      <c r="B10" t="s">
        <v>6</v>
      </c>
      <c r="C10" t="s">
        <v>16</v>
      </c>
      <c r="D10">
        <v>500</v>
      </c>
      <c r="E10" t="s">
        <v>10</v>
      </c>
      <c r="F10" s="1">
        <v>29500</v>
      </c>
      <c r="G10">
        <v>40</v>
      </c>
      <c r="H10" t="s">
        <v>10</v>
      </c>
      <c r="I10" s="1">
        <f t="shared" si="0"/>
        <v>2360</v>
      </c>
    </row>
    <row r="11" spans="2:9" x14ac:dyDescent="0.3">
      <c r="B11" t="s">
        <v>6</v>
      </c>
      <c r="C11" t="s">
        <v>20</v>
      </c>
      <c r="D11">
        <v>250</v>
      </c>
      <c r="E11" t="s">
        <v>10</v>
      </c>
      <c r="F11" s="1">
        <v>2500</v>
      </c>
      <c r="G11">
        <v>23</v>
      </c>
      <c r="H11" t="s">
        <v>10</v>
      </c>
      <c r="I11" s="1">
        <f t="shared" si="0"/>
        <v>230</v>
      </c>
    </row>
    <row r="12" spans="2:9" x14ac:dyDescent="0.3">
      <c r="B12" t="s">
        <v>6</v>
      </c>
      <c r="C12" t="s">
        <v>21</v>
      </c>
      <c r="D12">
        <v>250</v>
      </c>
      <c r="E12" t="s">
        <v>10</v>
      </c>
      <c r="F12" s="1">
        <v>1500</v>
      </c>
      <c r="G12">
        <v>13</v>
      </c>
      <c r="H12" t="s">
        <v>10</v>
      </c>
      <c r="I12" s="1">
        <f t="shared" si="0"/>
        <v>78</v>
      </c>
    </row>
    <row r="13" spans="2:9" x14ac:dyDescent="0.3">
      <c r="B13" t="s">
        <v>23</v>
      </c>
      <c r="C13" t="s">
        <v>22</v>
      </c>
      <c r="D13">
        <v>500</v>
      </c>
      <c r="E13" t="s">
        <v>15</v>
      </c>
      <c r="F13" s="1">
        <v>4000</v>
      </c>
      <c r="G13">
        <f>G11</f>
        <v>23</v>
      </c>
      <c r="H13" t="s">
        <v>15</v>
      </c>
      <c r="I13" s="1">
        <f t="shared" si="0"/>
        <v>184</v>
      </c>
    </row>
    <row r="14" spans="2:9" x14ac:dyDescent="0.3">
      <c r="B14" t="s">
        <v>19</v>
      </c>
      <c r="C14" t="s">
        <v>18</v>
      </c>
      <c r="D14">
        <v>900</v>
      </c>
      <c r="E14" t="s">
        <v>15</v>
      </c>
      <c r="F14" s="1">
        <v>7000</v>
      </c>
      <c r="G14">
        <v>45</v>
      </c>
      <c r="H14" t="s">
        <v>15</v>
      </c>
      <c r="I14" s="1">
        <f t="shared" si="0"/>
        <v>350</v>
      </c>
    </row>
    <row r="15" spans="2:9" x14ac:dyDescent="0.3">
      <c r="B15" t="s">
        <v>6</v>
      </c>
      <c r="C15" t="s">
        <v>14</v>
      </c>
      <c r="D15">
        <v>400</v>
      </c>
      <c r="E15" t="s">
        <v>15</v>
      </c>
      <c r="F15" s="1">
        <v>7500</v>
      </c>
      <c r="G15">
        <v>600</v>
      </c>
      <c r="H15" t="s">
        <v>15</v>
      </c>
      <c r="I15" s="1">
        <f t="shared" si="0"/>
        <v>11250</v>
      </c>
    </row>
    <row r="16" spans="2:9" x14ac:dyDescent="0.3">
      <c r="B16" t="s">
        <v>23</v>
      </c>
      <c r="C16" t="s">
        <v>24</v>
      </c>
      <c r="D16">
        <v>1000</v>
      </c>
      <c r="E16" t="s">
        <v>10</v>
      </c>
      <c r="F16" s="1">
        <v>24500</v>
      </c>
      <c r="G16">
        <v>1</v>
      </c>
      <c r="H16" t="s">
        <v>10</v>
      </c>
      <c r="I16" s="1">
        <f t="shared" si="0"/>
        <v>24.5</v>
      </c>
    </row>
    <row r="17" spans="2:11" x14ac:dyDescent="0.3">
      <c r="B17" t="s">
        <v>6</v>
      </c>
      <c r="C17" t="s">
        <v>25</v>
      </c>
      <c r="D17">
        <v>100</v>
      </c>
      <c r="E17" t="s">
        <v>8</v>
      </c>
      <c r="F17" s="1">
        <v>2500</v>
      </c>
      <c r="G17">
        <v>20</v>
      </c>
      <c r="H17" t="s">
        <v>8</v>
      </c>
      <c r="I17" s="1">
        <f t="shared" si="0"/>
        <v>500</v>
      </c>
    </row>
    <row r="18" spans="2:11" x14ac:dyDescent="0.3">
      <c r="B18" t="s">
        <v>27</v>
      </c>
      <c r="C18" t="s">
        <v>26</v>
      </c>
      <c r="D18">
        <v>100</v>
      </c>
      <c r="E18" t="s">
        <v>8</v>
      </c>
      <c r="F18" s="1">
        <v>7500</v>
      </c>
      <c r="G18">
        <v>20</v>
      </c>
      <c r="H18" t="s">
        <v>8</v>
      </c>
      <c r="I18" s="1">
        <f t="shared" si="0"/>
        <v>1500</v>
      </c>
    </row>
    <row r="19" spans="2:11" x14ac:dyDescent="0.3">
      <c r="B19" t="s">
        <v>30</v>
      </c>
      <c r="C19" t="s">
        <v>28</v>
      </c>
      <c r="D19">
        <v>25</v>
      </c>
      <c r="E19" t="s">
        <v>29</v>
      </c>
      <c r="F19" s="1">
        <v>11000</v>
      </c>
      <c r="G19">
        <v>7</v>
      </c>
      <c r="H19" t="s">
        <v>29</v>
      </c>
      <c r="I19" s="1">
        <f t="shared" si="0"/>
        <v>3080</v>
      </c>
    </row>
    <row r="20" spans="2:11" x14ac:dyDescent="0.3">
      <c r="C20" t="s">
        <v>31</v>
      </c>
      <c r="D20">
        <v>1</v>
      </c>
      <c r="F20" s="1">
        <v>100</v>
      </c>
      <c r="G20">
        <v>20</v>
      </c>
      <c r="I20" s="1">
        <f t="shared" si="0"/>
        <v>2000</v>
      </c>
    </row>
    <row r="21" spans="2:11" x14ac:dyDescent="0.3">
      <c r="C21" t="s">
        <v>32</v>
      </c>
      <c r="D21">
        <v>1</v>
      </c>
      <c r="F21" s="1">
        <v>150</v>
      </c>
      <c r="G21">
        <v>20</v>
      </c>
      <c r="I21" s="1">
        <f t="shared" si="0"/>
        <v>3000</v>
      </c>
    </row>
    <row r="23" spans="2:11" x14ac:dyDescent="0.3">
      <c r="B23" s="16" t="s">
        <v>34</v>
      </c>
      <c r="C23" s="16"/>
      <c r="D23" s="16"/>
      <c r="E23" s="16"/>
      <c r="F23" s="16"/>
      <c r="G23" s="16"/>
      <c r="H23" s="16"/>
      <c r="I23" s="2">
        <f>SUM(I6:I21)</f>
        <v>45106.5</v>
      </c>
    </row>
    <row r="24" spans="2:11" x14ac:dyDescent="0.3">
      <c r="F24" s="1"/>
      <c r="I24" s="1"/>
    </row>
    <row r="25" spans="2:11" x14ac:dyDescent="0.3">
      <c r="B25" s="14" t="s">
        <v>35</v>
      </c>
      <c r="C25" s="14"/>
      <c r="D25" s="14"/>
      <c r="E25" s="14"/>
      <c r="F25" s="14"/>
      <c r="G25" s="14"/>
      <c r="H25" s="14"/>
      <c r="I25" s="2">
        <f>I23/20</f>
        <v>2255.3249999999998</v>
      </c>
      <c r="J25" s="5"/>
    </row>
    <row r="26" spans="2:11" x14ac:dyDescent="0.3">
      <c r="F26" s="1"/>
      <c r="I26" s="1"/>
      <c r="J26" t="s">
        <v>41</v>
      </c>
      <c r="K26" t="s">
        <v>42</v>
      </c>
    </row>
    <row r="27" spans="2:11" x14ac:dyDescent="0.3">
      <c r="B27" s="14" t="s">
        <v>36</v>
      </c>
      <c r="C27" s="14"/>
      <c r="D27" s="14"/>
      <c r="E27" s="14"/>
      <c r="F27" s="14"/>
      <c r="G27" s="14"/>
      <c r="H27" s="14"/>
      <c r="I27" s="6">
        <f>I25*1.5</f>
        <v>3382.9874999999997</v>
      </c>
      <c r="J27" s="5">
        <v>3400</v>
      </c>
      <c r="K27" s="5">
        <f>J27-I27</f>
        <v>17.012500000000273</v>
      </c>
    </row>
    <row r="28" spans="2:11" x14ac:dyDescent="0.3">
      <c r="F28" s="1"/>
      <c r="I28" s="1"/>
    </row>
    <row r="29" spans="2:11" x14ac:dyDescent="0.3">
      <c r="B29" s="14" t="s">
        <v>40</v>
      </c>
      <c r="C29" s="14"/>
      <c r="D29" s="14"/>
      <c r="E29" s="14"/>
      <c r="F29" s="14"/>
      <c r="G29" s="14"/>
      <c r="H29" s="14"/>
      <c r="I29" s="2">
        <f>I25*0.5 +K27</f>
        <v>1144.6750000000002</v>
      </c>
      <c r="J29" t="s">
        <v>37</v>
      </c>
    </row>
    <row r="30" spans="2:11" x14ac:dyDescent="0.3">
      <c r="F30" s="1"/>
      <c r="I30" s="1"/>
    </row>
    <row r="31" spans="2:11" x14ac:dyDescent="0.3">
      <c r="B31" s="14" t="s">
        <v>44</v>
      </c>
      <c r="C31" s="14"/>
      <c r="D31" s="14"/>
      <c r="E31" s="14"/>
      <c r="F31" s="14"/>
      <c r="G31" s="14"/>
      <c r="H31" s="14"/>
      <c r="I31" s="7">
        <f>I29*20/2+I21</f>
        <v>14446.750000000002</v>
      </c>
      <c r="J31" s="5"/>
    </row>
    <row r="32" spans="2:11" x14ac:dyDescent="0.3">
      <c r="F32" s="1"/>
      <c r="I32" s="1"/>
    </row>
    <row r="33" spans="2:9" x14ac:dyDescent="0.3">
      <c r="B33" s="14" t="s">
        <v>38</v>
      </c>
      <c r="C33" s="14"/>
      <c r="D33" s="14"/>
      <c r="E33" s="14"/>
      <c r="F33" s="14"/>
      <c r="G33" s="14"/>
      <c r="H33" s="14"/>
      <c r="I33" s="7">
        <f>I29*20/2</f>
        <v>11446.750000000002</v>
      </c>
    </row>
    <row r="34" spans="2:9" x14ac:dyDescent="0.3">
      <c r="F34" s="1"/>
      <c r="I34" s="1"/>
    </row>
    <row r="35" spans="2:9" x14ac:dyDescent="0.3">
      <c r="B35" s="14" t="s">
        <v>39</v>
      </c>
      <c r="C35" s="14"/>
      <c r="D35" s="14"/>
      <c r="E35" s="14"/>
      <c r="F35" s="14"/>
      <c r="G35" s="14"/>
      <c r="H35" s="14"/>
      <c r="I35" s="7">
        <f>I29*20</f>
        <v>22893.500000000004</v>
      </c>
    </row>
    <row r="36" spans="2:9" x14ac:dyDescent="0.3">
      <c r="F36" s="1"/>
      <c r="I36" s="1"/>
    </row>
    <row r="37" spans="2:9" x14ac:dyDescent="0.3">
      <c r="B37" s="14" t="s">
        <v>43</v>
      </c>
      <c r="C37" s="14"/>
      <c r="D37" s="14"/>
      <c r="E37" s="14"/>
      <c r="F37" s="14"/>
      <c r="G37" s="14"/>
      <c r="H37" s="14"/>
      <c r="I37" s="2">
        <f>I23+I35</f>
        <v>68000</v>
      </c>
    </row>
  </sheetData>
  <mergeCells count="9">
    <mergeCell ref="B33:H33"/>
    <mergeCell ref="B35:H35"/>
    <mergeCell ref="B37:H37"/>
    <mergeCell ref="B2:I3"/>
    <mergeCell ref="B23:H23"/>
    <mergeCell ref="B25:H25"/>
    <mergeCell ref="B27:H27"/>
    <mergeCell ref="B29:H29"/>
    <mergeCell ref="B31:H3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2D1C4307504B45BC073FDA1CCCA4AC" ma:contentTypeVersion="15" ma:contentTypeDescription="Crear nuevo documento." ma:contentTypeScope="" ma:versionID="6b2d36c86e24db45c169bf31afd81589">
  <xsd:schema xmlns:xsd="http://www.w3.org/2001/XMLSchema" xmlns:xs="http://www.w3.org/2001/XMLSchema" xmlns:p="http://schemas.microsoft.com/office/2006/metadata/properties" xmlns:ns3="85295869-e4c1-420a-88e7-280817e009f5" xmlns:ns4="9b30c021-e5f9-4ebc-9c5a-05d8746d9ab4" targetNamespace="http://schemas.microsoft.com/office/2006/metadata/properties" ma:root="true" ma:fieldsID="ca29f3a3aab9d62666448c553b3f8b89" ns3:_="" ns4:_="">
    <xsd:import namespace="85295869-e4c1-420a-88e7-280817e009f5"/>
    <xsd:import namespace="9b30c021-e5f9-4ebc-9c5a-05d8746d9a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95869-e4c1-420a-88e7-280817e00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30c021-e5f9-4ebc-9c5a-05d8746d9ab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295869-e4c1-420a-88e7-280817e009f5" xsi:nil="true"/>
  </documentManagement>
</p:properties>
</file>

<file path=customXml/itemProps1.xml><?xml version="1.0" encoding="utf-8"?>
<ds:datastoreItem xmlns:ds="http://schemas.openxmlformats.org/officeDocument/2006/customXml" ds:itemID="{EF0CC10B-EB08-4A1C-9896-77707E44D0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95869-e4c1-420a-88e7-280817e009f5"/>
    <ds:schemaRef ds:uri="9b30c021-e5f9-4ebc-9c5a-05d8746d9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EB63E9-C545-46CD-8422-02F0E169A0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64B846-7363-49EE-8FAF-FA163833BD43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85295869-e4c1-420a-88e7-280817e009f5"/>
    <ds:schemaRef ds:uri="http://schemas.microsoft.com/office/infopath/2007/PartnerControls"/>
    <ds:schemaRef ds:uri="http://schemas.openxmlformats.org/package/2006/metadata/core-properties"/>
    <ds:schemaRef ds:uri="9b30c021-e5f9-4ebc-9c5a-05d8746d9ab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Coco premium</vt:lpstr>
      <vt:lpstr>Arándanos premium</vt:lpstr>
      <vt:lpstr>Arándanos plus</vt:lpstr>
      <vt:lpstr>Coco 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RUIZ ROMERO</dc:creator>
  <cp:lastModifiedBy>ALLISON RUIZ ROMERO</cp:lastModifiedBy>
  <dcterms:created xsi:type="dcterms:W3CDTF">2026-06-03T19:02:09Z</dcterms:created>
  <dcterms:modified xsi:type="dcterms:W3CDTF">2026-07-16T21:15:53Z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0x0101008B2D1C4307504B45BC073FDA1CCCA4AC</vt:lpwstr>
  </property>
</Properties>
</file>