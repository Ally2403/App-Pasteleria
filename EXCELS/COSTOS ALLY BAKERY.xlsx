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ison Ruiz\Desktop\app mami\EXCELS\"/>
    </mc:Choice>
  </mc:AlternateContent>
  <xr:revisionPtr revIDLastSave="0" documentId="8_{DB9E4F04-26E7-4B19-99DF-C5E0FB22E078}" xr6:coauthVersionLast="47" xr6:coauthVersionMax="47" xr10:uidLastSave="{00000000-0000-0000-0000-000000000000}"/>
  <bookViews>
    <workbookView xWindow="6660" yWindow="2424" windowWidth="12900" windowHeight="6636" xr2:uid="{B4FFED1E-87B2-4043-822B-C7F633A55402}"/>
  </bookViews>
  <sheets>
    <sheet name="Torta vain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6" i="1" l="1"/>
  <c r="R6" i="1"/>
  <c r="AA6" i="1"/>
  <c r="I7" i="1"/>
  <c r="R7" i="1"/>
  <c r="AA7" i="1"/>
  <c r="I8" i="1"/>
  <c r="R8" i="1"/>
  <c r="AA8" i="1"/>
  <c r="I9" i="1"/>
  <c r="P9" i="1"/>
  <c r="R9" i="1" s="1"/>
  <c r="AA9" i="1"/>
  <c r="I10" i="1"/>
  <c r="I11" i="1"/>
  <c r="I12" i="1"/>
  <c r="I13" i="1"/>
  <c r="I14" i="1"/>
  <c r="I15" i="1"/>
  <c r="I16" i="1"/>
  <c r="G17" i="1"/>
  <c r="I17" i="1" s="1"/>
  <c r="I18" i="1"/>
  <c r="I19" i="1"/>
  <c r="G27" i="1"/>
  <c r="I27" i="1" s="1"/>
  <c r="P27" i="1"/>
  <c r="P48" i="1" s="1"/>
  <c r="R48" i="1" s="1"/>
  <c r="R53" i="1" s="1"/>
  <c r="R27" i="1"/>
  <c r="AA27" i="1"/>
  <c r="G28" i="1"/>
  <c r="I28" i="1" s="1"/>
  <c r="P28" i="1"/>
  <c r="R28" i="1"/>
  <c r="AA28" i="1"/>
  <c r="G29" i="1"/>
  <c r="I29" i="1"/>
  <c r="P29" i="1"/>
  <c r="R29" i="1" s="1"/>
  <c r="G30" i="1"/>
  <c r="I30" i="1" s="1"/>
  <c r="P30" i="1"/>
  <c r="R30" i="1" s="1"/>
  <c r="G31" i="1"/>
  <c r="I31" i="1"/>
  <c r="G32" i="1"/>
  <c r="I32" i="1" s="1"/>
  <c r="G33" i="1"/>
  <c r="I33" i="1" s="1"/>
  <c r="G34" i="1"/>
  <c r="I34" i="1"/>
  <c r="AA34" i="1"/>
  <c r="G35" i="1"/>
  <c r="I35" i="1" s="1"/>
  <c r="G36" i="1"/>
  <c r="I36" i="1" s="1"/>
  <c r="G37" i="1"/>
  <c r="I37" i="1" s="1"/>
  <c r="I38" i="1"/>
  <c r="I39" i="1"/>
  <c r="I40" i="1"/>
  <c r="G48" i="1"/>
  <c r="I48" i="1"/>
  <c r="AA48" i="1"/>
  <c r="G49" i="1"/>
  <c r="I49" i="1"/>
  <c r="P49" i="1"/>
  <c r="R49" i="1"/>
  <c r="AA49" i="1"/>
  <c r="G50" i="1"/>
  <c r="I50" i="1" s="1"/>
  <c r="P50" i="1"/>
  <c r="R50" i="1" s="1"/>
  <c r="AA50" i="1"/>
  <c r="G51" i="1"/>
  <c r="I51" i="1"/>
  <c r="P51" i="1"/>
  <c r="R51" i="1" s="1"/>
  <c r="AA51" i="1"/>
  <c r="G52" i="1"/>
  <c r="I52" i="1" s="1"/>
  <c r="G53" i="1"/>
  <c r="I53" i="1" s="1"/>
  <c r="G54" i="1"/>
  <c r="I54" i="1" s="1"/>
  <c r="G55" i="1"/>
  <c r="I55" i="1" s="1"/>
  <c r="AA55" i="1"/>
  <c r="G56" i="1"/>
  <c r="I56" i="1"/>
  <c r="G57" i="1"/>
  <c r="I57" i="1" s="1"/>
  <c r="G58" i="1"/>
  <c r="I58" i="1"/>
  <c r="G59" i="1"/>
  <c r="I59" i="1"/>
  <c r="I60" i="1"/>
  <c r="I61" i="1"/>
  <c r="I42" i="1" l="1"/>
  <c r="I63" i="1"/>
  <c r="R55" i="1" s="1"/>
  <c r="R11" i="1"/>
  <c r="R32" i="1"/>
  <c r="R34" i="1" s="1"/>
  <c r="I21" i="1"/>
  <c r="R59" i="1" l="1"/>
  <c r="AA53" i="1"/>
  <c r="AA57" i="1" s="1"/>
  <c r="R38" i="1"/>
  <c r="AA32" i="1"/>
  <c r="AA36" i="1" s="1"/>
  <c r="R13" i="1"/>
  <c r="AA11" i="1" l="1"/>
  <c r="AA15" i="1" s="1"/>
  <c r="R17" i="1"/>
</calcChain>
</file>

<file path=xl/sharedStrings.xml><?xml version="1.0" encoding="utf-8"?>
<sst xmlns="http://schemas.openxmlformats.org/spreadsheetml/2006/main" count="322" uniqueCount="49">
  <si>
    <t>Total costo 3 pisos</t>
  </si>
  <si>
    <t>unidad</t>
  </si>
  <si>
    <t>Blonda</t>
  </si>
  <si>
    <t>9cito</t>
  </si>
  <si>
    <t>Caja</t>
  </si>
  <si>
    <t>Ganancia</t>
  </si>
  <si>
    <t>gr</t>
  </si>
  <si>
    <t>Arequipe</t>
  </si>
  <si>
    <t>ml</t>
  </si>
  <si>
    <t>Kumis</t>
  </si>
  <si>
    <t>Ara</t>
  </si>
  <si>
    <t>VENDO EN</t>
  </si>
  <si>
    <t>Vinagre</t>
  </si>
  <si>
    <t>Vainilla</t>
  </si>
  <si>
    <t>TOTAL TORTA 3 PISOS</t>
  </si>
  <si>
    <t>Huevo</t>
  </si>
  <si>
    <t>La 79</t>
  </si>
  <si>
    <t>Azúcar blanca</t>
  </si>
  <si>
    <t>TOTAL CON COSAS ADICIONALES</t>
  </si>
  <si>
    <t>Total costo pequeña</t>
  </si>
  <si>
    <t>Aceite</t>
  </si>
  <si>
    <t>Mantequilla</t>
  </si>
  <si>
    <t>Dispropan</t>
  </si>
  <si>
    <t>Colorante</t>
  </si>
  <si>
    <t>Polvo de hornear</t>
  </si>
  <si>
    <t>Chocolate blanco</t>
  </si>
  <si>
    <t>Bicarbonato</t>
  </si>
  <si>
    <t>Azúcar glass</t>
  </si>
  <si>
    <t>Maicena</t>
  </si>
  <si>
    <t>Harina repostera</t>
  </si>
  <si>
    <t>precio final</t>
  </si>
  <si>
    <t>unidad2</t>
  </si>
  <si>
    <t>cantidad utilizada</t>
  </si>
  <si>
    <t>precio unitario</t>
  </si>
  <si>
    <t>cantidad vendida</t>
  </si>
  <si>
    <t>Ingredientes</t>
  </si>
  <si>
    <t>Lugar</t>
  </si>
  <si>
    <t>COSAS ADICIONALES</t>
  </si>
  <si>
    <t>CUBIERTA BUTTERNACHE 3 PISOS (2 veces la de 2)</t>
  </si>
  <si>
    <t>TORTA DE VAINILLA pequeña</t>
  </si>
  <si>
    <t>Total costo 2 pisos</t>
  </si>
  <si>
    <t>Sprinkles Dorados</t>
  </si>
  <si>
    <t>Topper</t>
  </si>
  <si>
    <t>COSAS ADICIONALES (TORTA SUSANA)</t>
  </si>
  <si>
    <t>TORTA DE VAINILLA 3 PISOS (la de 2 pisos + media)</t>
  </si>
  <si>
    <t>TOTAL TORTA 2 PISOS</t>
  </si>
  <si>
    <t>Sprinkles</t>
  </si>
  <si>
    <t>CUBIERTA BUTTERNACHE 2 PISOS</t>
  </si>
  <si>
    <t>TORTA DE VAINILLA 2 PISOS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</si>
</sst>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2" borderId="0" xfId="1" applyNumberFormat="1" applyFont="1" applyFill="1"/>
    <xf numFmtId="164" fontId="0" fillId="0" borderId="0" xfId="1" applyNumberFormat="1" applyFont="1"/>
    <xf numFmtId="164" fontId="3" fillId="2" borderId="0" xfId="0" applyNumberFormat="1" applyFont="1" applyFill="1"/>
    <xf numFmtId="164" fontId="0" fillId="2" borderId="0" xfId="0" applyNumberFormat="1" applyFill="1"/>
    <xf numFmtId="164" fontId="2" fillId="3" borderId="0" xfId="1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right"/>
    </xf>
    <xf numFmtId="0" fontId="4" fillId="3" borderId="0" xfId="0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59787-9B1B-4954-A926-05D44133402B}" name="Tabla14567" displayName="Tabla14567" ref="B5:I19" totalsRowShown="0" headerRowDxfId="28">
  <autoFilter ref="B5:I19" xr:uid="{08B8CFF6-F6B8-407D-81EA-28E2E95B5777}"/>
  <tableColumns count="8">
    <tableColumn id="1" xr3:uid="{4DDE505B-25B2-46F5-A99C-DD4F60365764}" name="Lugar"/>
    <tableColumn id="2" xr3:uid="{0C7D32A0-E6C8-4B3A-B835-21B25E51A05D}" name="Ingredientes"/>
    <tableColumn id="3" xr3:uid="{BFA5EC70-939E-4975-96CB-90F487263D75}" name="cantidad vendida"/>
    <tableColumn id="4" xr3:uid="{384D329E-0D7E-4FB3-ADE6-F010A634051C}" name="unidad"/>
    <tableColumn id="5" xr3:uid="{B9585498-B2D3-4BD2-BEBD-C7D3615CBB8E}" name="precio unitario" dataDxfId="27" dataCellStyle="Moneda"/>
    <tableColumn id="6" xr3:uid="{295A65D0-74CE-4C48-B502-218865CB1147}" name="cantidad utilizada"/>
    <tableColumn id="7" xr3:uid="{5F1BDE83-EDD2-4BA1-BC14-2E2F5FECE783}" name="unidad2"/>
    <tableColumn id="8" xr3:uid="{F50E40C6-649F-4CA0-A7A2-AC67EF26122A}" name="precio final" dataDxfId="26" dataCellStyle="Moneda">
      <calculatedColumnFormula>G6*F6/D6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F1D9A-6F02-4D6D-B306-03B912B36D72}" name="Tabla145678" displayName="Tabla145678" ref="K5:R9" totalsRowShown="0" headerRowDxfId="25">
  <autoFilter ref="K5:R9" xr:uid="{7EED4252-B483-48CF-9809-C362344F6AD2}"/>
  <tableColumns count="8">
    <tableColumn id="1" xr3:uid="{50693699-ED1F-4F09-B89A-633A3F76D697}" name="Lugar"/>
    <tableColumn id="2" xr3:uid="{09A32C1D-8902-4079-AA70-8150D0AEF468}" name="Ingredientes"/>
    <tableColumn id="3" xr3:uid="{0015E631-8BBF-4C32-84F3-A2CF27B91F80}" name="cantidad vendida"/>
    <tableColumn id="4" xr3:uid="{761BD0C3-0565-477B-AC3D-724217A5FD39}" name="unidad"/>
    <tableColumn id="5" xr3:uid="{A1A530C6-5753-4AD2-B4D9-8C5BB64F32B1}" name="precio unitario" dataDxfId="24" dataCellStyle="Moneda"/>
    <tableColumn id="6" xr3:uid="{11768FD9-285B-4F2A-94E2-4D3D599FC974}" name="cantidad utilizada"/>
    <tableColumn id="7" xr3:uid="{2D77940D-187A-47FA-85A3-7A87AD49033E}" name="unidad2"/>
    <tableColumn id="8" xr3:uid="{58E7EF92-EB54-4241-B794-8B51C97FCEB0}" name="precio final" dataDxfId="23" dataCellStyle="Moneda">
      <calculatedColumnFormula>P6*O6/M6</calculatedColumnFormula>
    </tableColumn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7C5F06-696B-4E78-AE41-A5CF175F149F}" name="Tabla145679" displayName="Tabla145679" ref="B26:I40" totalsRowShown="0" headerRowDxfId="22">
  <autoFilter ref="B26:I40" xr:uid="{FDE7DC3E-F599-470D-937E-F47F8AB3BA42}"/>
  <tableColumns count="8">
    <tableColumn id="1" xr3:uid="{A3FAC8AD-10FD-4DB4-8EB2-9601C6F8B7B0}" name="Lugar"/>
    <tableColumn id="2" xr3:uid="{D33BDCDB-2B63-4286-BD77-8C3BCEEA1B66}" name="Ingredientes"/>
    <tableColumn id="3" xr3:uid="{25DFA9D1-B849-4D2F-A9AC-D610D29B4878}" name="cantidad vendida"/>
    <tableColumn id="4" xr3:uid="{CEBA7703-8669-4555-A706-60ECEBD4330B}" name="unidad"/>
    <tableColumn id="5" xr3:uid="{66174A12-AC5C-4675-B42B-05A833DBAE11}" name="precio unitario" dataDxfId="21" dataCellStyle="Moneda"/>
    <tableColumn id="6" xr3:uid="{6B4775FA-A5CE-4F4F-970A-B00C1DF843DC}" name="cantidad utilizada">
      <calculatedColumnFormula>G6*1.5</calculatedColumnFormula>
    </tableColumn>
    <tableColumn id="7" xr3:uid="{7ABDDBB5-688D-416B-93D0-065FD165DC1B}" name="unidad2"/>
    <tableColumn id="8" xr3:uid="{4D0A0F99-6ECA-46AC-8055-7A0D335A0045}" name="precio final" dataDxfId="20" dataCellStyle="Moneda">
      <calculatedColumnFormula>G27*F27/D27</calculatedColumnFormula>
    </tableColumn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5DBCC7-9D82-43C8-94A3-C7A48B879F97}" name="Tabla1456710" displayName="Tabla1456710" ref="B47:I61" totalsRowShown="0" headerRowDxfId="19">
  <autoFilter ref="B47:I61" xr:uid="{F4ACBB12-E6E6-4505-BAE4-99669D3A5A7F}"/>
  <tableColumns count="8">
    <tableColumn id="1" xr3:uid="{4BE13A10-D96B-405D-8C5E-636D9027A64A}" name="Lugar"/>
    <tableColumn id="2" xr3:uid="{DEA18DBE-A351-4128-8A29-910194F695EE}" name="Ingredientes"/>
    <tableColumn id="3" xr3:uid="{1EAC5B81-D9D1-4A5C-AA71-76CF81503843}" name="cantidad vendida"/>
    <tableColumn id="4" xr3:uid="{45D87603-77CE-404D-AFD1-4EA9090F080B}" name="unidad"/>
    <tableColumn id="5" xr3:uid="{620C28AC-0182-4D3C-809F-9B4F96E50EB4}" name="precio unitario" dataDxfId="18" dataCellStyle="Moneda"/>
    <tableColumn id="6" xr3:uid="{915FBEBE-75B9-4F27-9DD2-67F9A6BC71AE}" name="cantidad utilizada">
      <calculatedColumnFormula>G6/2</calculatedColumnFormula>
    </tableColumn>
    <tableColumn id="7" xr3:uid="{36667AE8-271F-4416-91D3-A4E821C7FA81}" name="unidad2"/>
    <tableColumn id="8" xr3:uid="{7B27FE4D-0AE6-47FE-9D4C-B722BDE70D46}" name="precio final" dataDxfId="17" dataCellStyle="Moneda">
      <calculatedColumnFormula>G48*F48/D48</calculatedColumnFormula>
    </tableColumn>
  </tableColumns>
  <tableStyleInfo name="TableStyleLight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9A1064-58E0-4C5B-99AB-585A8984D79F}" name="Tabla14567811" displayName="Tabla14567811" ref="K26:R30" totalsRowShown="0" headerRowDxfId="16">
  <autoFilter ref="K26:R30" xr:uid="{97BDE8F1-E1EE-48D4-A0D3-CF3DBD778733}"/>
  <tableColumns count="8">
    <tableColumn id="1" xr3:uid="{F812BB72-1CE7-4C7D-9D64-3CBABA116037}" name="Lugar"/>
    <tableColumn id="2" xr3:uid="{A9DE74C5-99C9-4F51-84AF-6FBD0EC44BA9}" name="Ingredientes"/>
    <tableColumn id="3" xr3:uid="{D247A11E-6300-4346-90AC-2143F932BB6B}" name="cantidad vendida"/>
    <tableColumn id="4" xr3:uid="{7F44C1A4-2BA1-447D-99C8-04FEF976D21C}" name="unidad"/>
    <tableColumn id="5" xr3:uid="{F33F4D3F-A07C-43CC-B2DF-E07297C35BE7}" name="precio unitario" dataDxfId="15" dataCellStyle="Moneda"/>
    <tableColumn id="6" xr3:uid="{4779045C-B4DF-426D-829C-3A8D5F8CFB9B}" name="cantidad utilizada" dataDxfId="14">
      <calculatedColumnFormula>P6</calculatedColumnFormula>
    </tableColumn>
    <tableColumn id="7" xr3:uid="{96C575F8-E1BD-4DED-9A36-FB0A3352CD6A}" name="unidad2"/>
    <tableColumn id="8" xr3:uid="{4260F308-2EDC-4388-A7DB-8A81CD8239D4}" name="precio final" dataDxfId="13" dataCellStyle="Moneda">
      <calculatedColumnFormula>P27*O27/M27</calculatedColumnFormula>
    </tableColumn>
  </tableColumns>
  <tableStyleInfo name="TableStyleLight1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5FD903-A371-41B9-AA7A-565E82D1C656}" name="Tabla1456781112" displayName="Tabla1456781112" ref="K47:R51" totalsRowShown="0" headerRowDxfId="12">
  <autoFilter ref="K47:R51" xr:uid="{F09D0314-11CB-4BD0-B589-ACB5F8CAC04E}"/>
  <tableColumns count="8">
    <tableColumn id="1" xr3:uid="{6BA9E106-8F9B-45A6-8455-F689CBFC2E65}" name="Lugar"/>
    <tableColumn id="2" xr3:uid="{A54F75CB-E383-4FB2-A1F1-BE74A614CA59}" name="Ingredientes"/>
    <tableColumn id="3" xr3:uid="{B8F8EE5D-6945-4110-8E74-4C1A40E9D08B}" name="cantidad vendida"/>
    <tableColumn id="4" xr3:uid="{E0F44905-9B64-421A-88CA-9C5F48BB51CB}" name="unidad"/>
    <tableColumn id="5" xr3:uid="{CA4AE3F7-4330-4AF4-876B-2A29855F58BE}" name="precio unitario" dataDxfId="11" dataCellStyle="Moneda"/>
    <tableColumn id="6" xr3:uid="{6CCAB442-39F4-4675-84CE-3CEC1F221654}" name="cantidad utilizada" dataDxfId="10">
      <calculatedColumnFormula>P27</calculatedColumnFormula>
    </tableColumn>
    <tableColumn id="7" xr3:uid="{C2F6DD0D-01AE-4F06-9C8D-AD3A6BCB7037}" name="unidad2"/>
    <tableColumn id="8" xr3:uid="{6A2E7E85-17B4-42F8-AE77-DF44AAB39A34}" name="precio final" dataDxfId="9" dataCellStyle="Moneda">
      <calculatedColumnFormula>P48*O48/M48</calculatedColumnFormula>
    </tableColumn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FE2B3C-A96F-4535-B608-2F297C5A7FB7}" name="Tabla14567814" displayName="Tabla14567814" ref="T5:AA9" totalsRowShown="0" headerRowDxfId="8">
  <autoFilter ref="T5:AA9" xr:uid="{6DCB7069-A2F4-4C34-9ECF-C4D110901215}"/>
  <tableColumns count="8">
    <tableColumn id="1" xr3:uid="{B413726B-DC97-45D9-B631-B9D63C29E040}" name="Lugar"/>
    <tableColumn id="2" xr3:uid="{7D620A43-5D59-4574-8336-4E29291C315D}" name="Ingredientes"/>
    <tableColumn id="3" xr3:uid="{381CAB98-2838-474B-9223-F99B315A4437}" name="cantidad vendida"/>
    <tableColumn id="4" xr3:uid="{BF85479D-DA99-48A5-A06D-D2EC7CE03ABC}" name="unidad"/>
    <tableColumn id="5" xr3:uid="{B8B4EC1F-F2D3-472A-B661-D12F726B62A0}" name="precio unitario" dataDxfId="7" dataCellStyle="Moneda"/>
    <tableColumn id="6" xr3:uid="{2801DC5E-5A72-46A6-B4BD-35ED7718F0A4}" name="cantidad utilizada"/>
    <tableColumn id="7" xr3:uid="{7936D2ED-48D2-47C2-B1DB-F36A51108F13}" name="unidad2"/>
    <tableColumn id="8" xr3:uid="{B501ADC1-02E9-4E08-98CC-C42E837F5098}" name="precio final" dataDxfId="6" dataCellStyle="Moneda">
      <calculatedColumnFormula>Y6*X6/V6</calculatedColumnFormula>
    </tableColumn>
  </tableColumns>
  <tableStyleInfo name="TableStyleLight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D081BA9-397E-400A-8372-8507496A1372}" name="Tabla1456781415" displayName="Tabla1456781415" ref="T26:AA28" totalsRowShown="0" headerRowDxfId="5">
  <autoFilter ref="T26:AA28" xr:uid="{2A3A97C7-3B1D-4059-8782-1BE5ECECB27A}"/>
  <tableColumns count="8">
    <tableColumn id="1" xr3:uid="{B62742A4-F61D-445B-B6C0-6C50C62C87DB}" name="Lugar"/>
    <tableColumn id="2" xr3:uid="{BE519E62-C1E2-4562-B5B1-12EEA285C7C2}" name="Ingredientes"/>
    <tableColumn id="3" xr3:uid="{3B69413C-5CAF-461E-B5A7-A681C4030253}" name="cantidad vendida"/>
    <tableColumn id="4" xr3:uid="{F9572494-E3CA-43C0-B275-5EA86692F6E4}" name="unidad"/>
    <tableColumn id="5" xr3:uid="{D12FA962-3101-42D9-86C6-DFFDF5218EF4}" name="precio unitario" dataDxfId="4" dataCellStyle="Moneda"/>
    <tableColumn id="6" xr3:uid="{03929E47-9B4E-4F48-8FB7-42890D1BC198}" name="cantidad utilizada"/>
    <tableColumn id="7" xr3:uid="{B2FEFB1B-7440-4E0F-BBB9-78DA44793A40}" name="unidad2"/>
    <tableColumn id="8" xr3:uid="{3DD771F4-7C06-474A-9F97-E0413DAD577B}" name="precio final" dataDxfId="3" dataCellStyle="Moneda">
      <calculatedColumnFormula>Y27*X27/V27</calculatedColumnFormula>
    </tableColumn>
  </tableColumns>
  <tableStyleInfo name="TableStyleLight1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B2287E-EC24-4A39-9F16-D675A9B760B2}" name="Tabla1456781416" displayName="Tabla1456781416" ref="T47:AA51" totalsRowShown="0" headerRowDxfId="2">
  <autoFilter ref="T47:AA51" xr:uid="{45A954E1-361D-470F-B84D-EC2D82D5863D}"/>
  <tableColumns count="8">
    <tableColumn id="1" xr3:uid="{436F6C3F-504B-47FE-A3A9-28A6F6D8EE4F}" name="Lugar"/>
    <tableColumn id="2" xr3:uid="{6CDEC78E-5406-4D81-86BC-F440B2B835C7}" name="Ingredientes"/>
    <tableColumn id="3" xr3:uid="{C8B07A34-06AC-482C-A9C7-1BF6507DC5D0}" name="cantidad vendida"/>
    <tableColumn id="4" xr3:uid="{40E2155D-48DD-4412-8C06-997156381BDD}" name="unidad"/>
    <tableColumn id="5" xr3:uid="{1CDC1AA4-859C-415F-A8A4-9B09B89D955F}" name="precio unitario" dataDxfId="1" dataCellStyle="Moneda"/>
    <tableColumn id="6" xr3:uid="{FE08A283-A7DC-4AAF-BDDE-7C1596D9AD32}" name="cantidad utilizada"/>
    <tableColumn id="7" xr3:uid="{EA2F4932-7131-4963-A97D-2EB887D9D528}" name="unidad2"/>
    <tableColumn id="8" xr3:uid="{B63EEEE0-741C-4B8D-9C0E-A40BFFC1E97E}" name="precio final" dataDxfId="0" dataCellStyle="Moneda">
      <calculatedColumnFormula>Y48*X48/V48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CE93-DE7E-4E0B-A446-B8FA5C36D13B}">
  <sheetPr>
    <tabColor rgb="FF7030A0"/>
  </sheetPr>
  <dimension ref="B2:AA63"/>
  <sheetViews>
    <sheetView tabSelected="1" zoomScale="82" workbookViewId="0">
      <selection activeCell="J20" sqref="J20"/>
    </sheetView>
  </sheetViews>
  <sheetFormatPr baseColWidth="10" defaultRowHeight="14.4" x14ac:dyDescent="0.3"/>
  <cols>
    <col min="1" max="1" width="5.88671875" customWidth="1"/>
    <col min="3" max="3" width="14.88671875" customWidth="1"/>
    <col min="4" max="4" width="18" customWidth="1"/>
    <col min="6" max="6" width="13.88671875" customWidth="1"/>
    <col min="7" max="7" width="14.88671875" customWidth="1"/>
    <col min="12" max="12" width="15.5546875" customWidth="1"/>
    <col min="21" max="21" width="19" customWidth="1"/>
  </cols>
  <sheetData>
    <row r="2" spans="2:27" x14ac:dyDescent="0.3">
      <c r="B2" s="8" t="s">
        <v>48</v>
      </c>
      <c r="C2" s="8"/>
      <c r="D2" s="8"/>
      <c r="E2" s="8"/>
      <c r="F2" s="8"/>
      <c r="G2" s="8"/>
      <c r="H2" s="8"/>
      <c r="I2" s="8"/>
      <c r="K2" s="8" t="s">
        <v>47</v>
      </c>
      <c r="L2" s="8"/>
      <c r="M2" s="8"/>
      <c r="N2" s="8"/>
      <c r="O2" s="8"/>
      <c r="P2" s="8"/>
      <c r="Q2" s="8"/>
      <c r="R2" s="8"/>
      <c r="T2" s="8" t="s">
        <v>37</v>
      </c>
      <c r="U2" s="8"/>
      <c r="V2" s="8"/>
      <c r="W2" s="8"/>
      <c r="X2" s="8"/>
      <c r="Y2" s="8"/>
      <c r="Z2" s="8"/>
      <c r="AA2" s="8"/>
    </row>
    <row r="3" spans="2:27" x14ac:dyDescent="0.3">
      <c r="B3" s="8"/>
      <c r="C3" s="8"/>
      <c r="D3" s="8"/>
      <c r="E3" s="8"/>
      <c r="F3" s="8"/>
      <c r="G3" s="8"/>
      <c r="H3" s="8"/>
      <c r="I3" s="8"/>
      <c r="K3" s="8"/>
      <c r="L3" s="8"/>
      <c r="M3" s="8"/>
      <c r="N3" s="8"/>
      <c r="O3" s="8"/>
      <c r="P3" s="8"/>
      <c r="Q3" s="8"/>
      <c r="R3" s="8"/>
      <c r="T3" s="8"/>
      <c r="U3" s="8"/>
      <c r="V3" s="8"/>
      <c r="W3" s="8"/>
      <c r="X3" s="8"/>
      <c r="Y3" s="8"/>
      <c r="Z3" s="8"/>
      <c r="AA3" s="8"/>
    </row>
    <row r="4" spans="2:27" x14ac:dyDescent="0.3">
      <c r="F4" s="2"/>
      <c r="I4" s="2"/>
    </row>
    <row r="5" spans="2:27" x14ac:dyDescent="0.3">
      <c r="B5" s="6" t="s">
        <v>36</v>
      </c>
      <c r="C5" s="6" t="s">
        <v>35</v>
      </c>
      <c r="D5" s="6" t="s">
        <v>34</v>
      </c>
      <c r="E5" s="6" t="s">
        <v>1</v>
      </c>
      <c r="F5" s="5" t="s">
        <v>33</v>
      </c>
      <c r="G5" s="6" t="s">
        <v>32</v>
      </c>
      <c r="H5" s="6" t="s">
        <v>31</v>
      </c>
      <c r="I5" s="5" t="s">
        <v>30</v>
      </c>
      <c r="K5" s="6" t="s">
        <v>36</v>
      </c>
      <c r="L5" s="6" t="s">
        <v>35</v>
      </c>
      <c r="M5" s="6" t="s">
        <v>34</v>
      </c>
      <c r="N5" s="6" t="s">
        <v>1</v>
      </c>
      <c r="O5" s="5" t="s">
        <v>33</v>
      </c>
      <c r="P5" s="6" t="s">
        <v>32</v>
      </c>
      <c r="Q5" s="6" t="s">
        <v>31</v>
      </c>
      <c r="R5" s="5" t="s">
        <v>30</v>
      </c>
      <c r="T5" s="6" t="s">
        <v>36</v>
      </c>
      <c r="U5" s="6" t="s">
        <v>35</v>
      </c>
      <c r="V5" s="6" t="s">
        <v>34</v>
      </c>
      <c r="W5" s="6" t="s">
        <v>1</v>
      </c>
      <c r="X5" s="5" t="s">
        <v>33</v>
      </c>
      <c r="Y5" s="6" t="s">
        <v>32</v>
      </c>
      <c r="Z5" s="6" t="s">
        <v>31</v>
      </c>
      <c r="AA5" s="5" t="s">
        <v>30</v>
      </c>
    </row>
    <row r="6" spans="2:27" x14ac:dyDescent="0.3">
      <c r="B6" t="s">
        <v>3</v>
      </c>
      <c r="C6" t="s">
        <v>29</v>
      </c>
      <c r="D6">
        <v>500</v>
      </c>
      <c r="E6" t="s">
        <v>6</v>
      </c>
      <c r="F6" s="2">
        <v>2300</v>
      </c>
      <c r="G6">
        <v>300</v>
      </c>
      <c r="H6" t="s">
        <v>6</v>
      </c>
      <c r="I6" s="2">
        <f t="shared" ref="I6:I19" si="0">G6*F6/D6</f>
        <v>1380</v>
      </c>
      <c r="K6" t="s">
        <v>22</v>
      </c>
      <c r="L6" t="s">
        <v>21</v>
      </c>
      <c r="M6">
        <v>500</v>
      </c>
      <c r="N6" t="s">
        <v>6</v>
      </c>
      <c r="O6" s="2">
        <v>6200</v>
      </c>
      <c r="P6">
        <v>250</v>
      </c>
      <c r="Q6" t="s">
        <v>6</v>
      </c>
      <c r="R6" s="2">
        <f>P6*O6/M6</f>
        <v>3100</v>
      </c>
      <c r="U6" t="s">
        <v>46</v>
      </c>
      <c r="V6">
        <v>125</v>
      </c>
      <c r="W6" t="s">
        <v>6</v>
      </c>
      <c r="X6" s="2">
        <v>10000</v>
      </c>
      <c r="Y6">
        <v>10</v>
      </c>
      <c r="Z6" t="s">
        <v>6</v>
      </c>
      <c r="AA6" s="2">
        <f>Y6*X6/V6</f>
        <v>800</v>
      </c>
    </row>
    <row r="7" spans="2:27" x14ac:dyDescent="0.3">
      <c r="B7" t="s">
        <v>3</v>
      </c>
      <c r="C7" t="s">
        <v>28</v>
      </c>
      <c r="D7">
        <v>500</v>
      </c>
      <c r="E7" t="s">
        <v>6</v>
      </c>
      <c r="F7" s="2">
        <v>2900</v>
      </c>
      <c r="G7">
        <v>25</v>
      </c>
      <c r="H7" t="s">
        <v>6</v>
      </c>
      <c r="I7" s="2">
        <f t="shared" si="0"/>
        <v>145</v>
      </c>
      <c r="K7" t="s">
        <v>3</v>
      </c>
      <c r="L7" t="s">
        <v>27</v>
      </c>
      <c r="M7">
        <v>500</v>
      </c>
      <c r="N7" t="s">
        <v>6</v>
      </c>
      <c r="O7" s="2">
        <v>3900</v>
      </c>
      <c r="P7">
        <v>70</v>
      </c>
      <c r="Q7" t="s">
        <v>6</v>
      </c>
      <c r="R7" s="2">
        <f>P7*O7/M7</f>
        <v>546</v>
      </c>
      <c r="X7" s="2"/>
      <c r="AA7" s="2" t="e">
        <f>Y7*X7/V7</f>
        <v>#DIV/0!</v>
      </c>
    </row>
    <row r="8" spans="2:27" x14ac:dyDescent="0.3">
      <c r="B8" t="s">
        <v>22</v>
      </c>
      <c r="C8" t="s">
        <v>26</v>
      </c>
      <c r="D8">
        <v>250</v>
      </c>
      <c r="E8" t="s">
        <v>6</v>
      </c>
      <c r="F8" s="2">
        <v>1500</v>
      </c>
      <c r="G8">
        <v>7.5</v>
      </c>
      <c r="H8" t="s">
        <v>6</v>
      </c>
      <c r="I8" s="2">
        <f t="shared" si="0"/>
        <v>45</v>
      </c>
      <c r="K8" t="s">
        <v>3</v>
      </c>
      <c r="L8" t="s">
        <v>25</v>
      </c>
      <c r="M8">
        <v>125</v>
      </c>
      <c r="N8" t="s">
        <v>6</v>
      </c>
      <c r="O8" s="2">
        <v>6200</v>
      </c>
      <c r="P8">
        <v>130</v>
      </c>
      <c r="Q8" t="s">
        <v>6</v>
      </c>
      <c r="R8" s="2">
        <f>P8*O8/M8</f>
        <v>6448</v>
      </c>
      <c r="X8" s="2"/>
      <c r="AA8" s="2" t="e">
        <f>Y8*X8/V8</f>
        <v>#DIV/0!</v>
      </c>
    </row>
    <row r="9" spans="2:27" x14ac:dyDescent="0.3">
      <c r="B9" t="s">
        <v>22</v>
      </c>
      <c r="C9" t="s">
        <v>24</v>
      </c>
      <c r="D9">
        <v>250</v>
      </c>
      <c r="E9" t="s">
        <v>6</v>
      </c>
      <c r="F9" s="2">
        <v>2500</v>
      </c>
      <c r="G9">
        <v>15</v>
      </c>
      <c r="H9" t="s">
        <v>6</v>
      </c>
      <c r="I9" s="2">
        <f t="shared" si="0"/>
        <v>150</v>
      </c>
      <c r="K9" t="s">
        <v>3</v>
      </c>
      <c r="L9" t="s">
        <v>23</v>
      </c>
      <c r="M9">
        <v>12</v>
      </c>
      <c r="N9" t="s">
        <v>8</v>
      </c>
      <c r="O9" s="2">
        <v>5000</v>
      </c>
      <c r="P9">
        <f>1/20</f>
        <v>0.05</v>
      </c>
      <c r="Q9" t="s">
        <v>8</v>
      </c>
      <c r="R9" s="2">
        <f>P9*O9/M9</f>
        <v>20.833333333333332</v>
      </c>
      <c r="X9" s="2"/>
      <c r="AA9" s="2" t="e">
        <f>Y9*X9/V9</f>
        <v>#DIV/0!</v>
      </c>
    </row>
    <row r="10" spans="2:27" x14ac:dyDescent="0.3">
      <c r="B10" t="s">
        <v>22</v>
      </c>
      <c r="C10" t="s">
        <v>21</v>
      </c>
      <c r="D10">
        <v>500</v>
      </c>
      <c r="E10" t="s">
        <v>6</v>
      </c>
      <c r="F10" s="2">
        <v>6200</v>
      </c>
      <c r="G10">
        <v>113</v>
      </c>
      <c r="H10" t="s">
        <v>6</v>
      </c>
      <c r="I10" s="2">
        <f t="shared" si="0"/>
        <v>1401.2</v>
      </c>
    </row>
    <row r="11" spans="2:27" x14ac:dyDescent="0.3">
      <c r="B11" t="s">
        <v>10</v>
      </c>
      <c r="C11" t="s">
        <v>20</v>
      </c>
      <c r="D11">
        <v>900</v>
      </c>
      <c r="E11" t="s">
        <v>8</v>
      </c>
      <c r="F11" s="2">
        <v>7000</v>
      </c>
      <c r="G11">
        <v>105</v>
      </c>
      <c r="H11" t="s">
        <v>8</v>
      </c>
      <c r="I11" s="2">
        <f t="shared" si="0"/>
        <v>816.66666666666663</v>
      </c>
      <c r="K11" s="7" t="s">
        <v>40</v>
      </c>
      <c r="L11" s="7"/>
      <c r="M11" s="7"/>
      <c r="N11" s="7"/>
      <c r="O11" s="7"/>
      <c r="P11" s="7"/>
      <c r="Q11" s="7"/>
      <c r="R11" s="1">
        <f>SUM(Tabla145678[precio final])</f>
        <v>10114.833333333334</v>
      </c>
      <c r="T11" s="7" t="s">
        <v>18</v>
      </c>
      <c r="U11" s="7"/>
      <c r="V11" s="7"/>
      <c r="W11" s="7"/>
      <c r="X11" s="7"/>
      <c r="Y11" s="7"/>
      <c r="Z11" s="7"/>
      <c r="AA11" s="4" t="e">
        <f>SUM(Tabla14567814[precio final])+R13</f>
        <v>#DIV/0!</v>
      </c>
    </row>
    <row r="12" spans="2:27" x14ac:dyDescent="0.3">
      <c r="B12" t="s">
        <v>3</v>
      </c>
      <c r="C12" t="s">
        <v>17</v>
      </c>
      <c r="D12">
        <v>500</v>
      </c>
      <c r="E12" t="s">
        <v>6</v>
      </c>
      <c r="F12" s="2">
        <v>2000</v>
      </c>
      <c r="G12">
        <v>332</v>
      </c>
      <c r="H12" t="s">
        <v>6</v>
      </c>
      <c r="I12" s="2">
        <f t="shared" si="0"/>
        <v>1328</v>
      </c>
      <c r="O12" s="2"/>
      <c r="R12" s="2"/>
    </row>
    <row r="13" spans="2:27" x14ac:dyDescent="0.3">
      <c r="B13" t="s">
        <v>16</v>
      </c>
      <c r="C13" t="s">
        <v>15</v>
      </c>
      <c r="D13">
        <v>1</v>
      </c>
      <c r="F13" s="2">
        <v>700</v>
      </c>
      <c r="G13">
        <v>3</v>
      </c>
      <c r="I13" s="2">
        <f t="shared" si="0"/>
        <v>2100</v>
      </c>
      <c r="K13" s="7" t="s">
        <v>45</v>
      </c>
      <c r="L13" s="7"/>
      <c r="M13" s="7"/>
      <c r="N13" s="7"/>
      <c r="O13" s="7"/>
      <c r="P13" s="7"/>
      <c r="Q13" s="7"/>
      <c r="R13" s="3">
        <f>SUM(R11+I21)</f>
        <v>26468.2</v>
      </c>
      <c r="T13" s="7" t="s">
        <v>11</v>
      </c>
      <c r="U13" s="7"/>
      <c r="V13" s="7"/>
      <c r="W13" s="7"/>
      <c r="X13" s="7"/>
      <c r="Y13" s="7"/>
      <c r="Z13" s="7"/>
      <c r="AA13" s="2">
        <v>70000</v>
      </c>
    </row>
    <row r="14" spans="2:27" x14ac:dyDescent="0.3">
      <c r="B14" t="s">
        <v>3</v>
      </c>
      <c r="C14" t="s">
        <v>13</v>
      </c>
      <c r="D14">
        <v>500</v>
      </c>
      <c r="E14" t="s">
        <v>8</v>
      </c>
      <c r="F14" s="2">
        <v>4000</v>
      </c>
      <c r="G14">
        <v>8</v>
      </c>
      <c r="H14" t="s">
        <v>8</v>
      </c>
      <c r="I14" s="2">
        <f t="shared" si="0"/>
        <v>64</v>
      </c>
      <c r="O14" s="2"/>
      <c r="R14" s="2"/>
      <c r="X14" s="2"/>
      <c r="AA14" s="2"/>
    </row>
    <row r="15" spans="2:27" x14ac:dyDescent="0.3">
      <c r="B15" t="s">
        <v>10</v>
      </c>
      <c r="C15" t="s">
        <v>12</v>
      </c>
      <c r="D15">
        <v>1000</v>
      </c>
      <c r="E15" t="s">
        <v>8</v>
      </c>
      <c r="F15" s="2">
        <v>6500</v>
      </c>
      <c r="G15">
        <v>7.5</v>
      </c>
      <c r="H15" t="s">
        <v>8</v>
      </c>
      <c r="I15" s="2">
        <f t="shared" si="0"/>
        <v>48.75</v>
      </c>
      <c r="K15" s="7" t="s">
        <v>11</v>
      </c>
      <c r="L15" s="7"/>
      <c r="M15" s="7"/>
      <c r="N15" s="7"/>
      <c r="O15" s="7"/>
      <c r="P15" s="7"/>
      <c r="Q15" s="7"/>
      <c r="R15" s="2">
        <v>70000</v>
      </c>
      <c r="T15" s="7" t="s">
        <v>5</v>
      </c>
      <c r="U15" s="7"/>
      <c r="V15" s="7"/>
      <c r="W15" s="7"/>
      <c r="X15" s="7"/>
      <c r="Y15" s="7"/>
      <c r="Z15" s="7"/>
      <c r="AA15" s="2" t="e">
        <f>AA13-AA11</f>
        <v>#DIV/0!</v>
      </c>
    </row>
    <row r="16" spans="2:27" x14ac:dyDescent="0.3">
      <c r="B16" t="s">
        <v>10</v>
      </c>
      <c r="C16" t="s">
        <v>9</v>
      </c>
      <c r="D16">
        <v>1000</v>
      </c>
      <c r="E16" t="s">
        <v>8</v>
      </c>
      <c r="F16" s="2">
        <v>6750</v>
      </c>
      <c r="G16">
        <v>337</v>
      </c>
      <c r="H16" t="s">
        <v>8</v>
      </c>
      <c r="I16" s="2">
        <f t="shared" si="0"/>
        <v>2274.75</v>
      </c>
      <c r="O16" s="2"/>
      <c r="R16" s="2"/>
    </row>
    <row r="17" spans="2:27" x14ac:dyDescent="0.3">
      <c r="B17" t="s">
        <v>3</v>
      </c>
      <c r="C17" t="s">
        <v>7</v>
      </c>
      <c r="D17">
        <v>420</v>
      </c>
      <c r="E17" t="s">
        <v>6</v>
      </c>
      <c r="F17" s="2">
        <v>7500</v>
      </c>
      <c r="G17">
        <f>Tabla14567[[#This Row],[cantidad vendida]]/2</f>
        <v>210</v>
      </c>
      <c r="H17" t="s">
        <v>6</v>
      </c>
      <c r="I17" s="2">
        <f t="shared" si="0"/>
        <v>3750</v>
      </c>
      <c r="K17" s="7" t="s">
        <v>5</v>
      </c>
      <c r="L17" s="7"/>
      <c r="M17" s="7"/>
      <c r="N17" s="7"/>
      <c r="O17" s="7"/>
      <c r="P17" s="7"/>
      <c r="Q17" s="7"/>
      <c r="R17" s="2">
        <f>R15-R13</f>
        <v>43531.8</v>
      </c>
    </row>
    <row r="18" spans="2:27" x14ac:dyDescent="0.3">
      <c r="C18" t="s">
        <v>4</v>
      </c>
      <c r="D18">
        <v>1</v>
      </c>
      <c r="E18" t="s">
        <v>1</v>
      </c>
      <c r="F18" s="2">
        <v>2500</v>
      </c>
      <c r="G18">
        <v>1</v>
      </c>
      <c r="H18" t="s">
        <v>1</v>
      </c>
      <c r="I18" s="2">
        <f t="shared" si="0"/>
        <v>2500</v>
      </c>
      <c r="O18" s="2"/>
      <c r="R18" s="2"/>
    </row>
    <row r="19" spans="2:27" x14ac:dyDescent="0.3">
      <c r="B19" t="s">
        <v>3</v>
      </c>
      <c r="C19" t="s">
        <v>2</v>
      </c>
      <c r="D19">
        <v>4</v>
      </c>
      <c r="E19" t="s">
        <v>1</v>
      </c>
      <c r="F19" s="2">
        <v>1400</v>
      </c>
      <c r="G19">
        <v>1</v>
      </c>
      <c r="H19" t="s">
        <v>1</v>
      </c>
      <c r="I19" s="2">
        <f t="shared" si="0"/>
        <v>350</v>
      </c>
      <c r="O19" s="2"/>
      <c r="R19" s="2"/>
    </row>
    <row r="20" spans="2:27" x14ac:dyDescent="0.3">
      <c r="F20" s="2"/>
      <c r="I20" s="2"/>
      <c r="O20" s="2"/>
      <c r="R20" s="2"/>
    </row>
    <row r="21" spans="2:27" x14ac:dyDescent="0.3">
      <c r="B21" s="7" t="s">
        <v>40</v>
      </c>
      <c r="C21" s="7"/>
      <c r="D21" s="7"/>
      <c r="E21" s="7"/>
      <c r="F21" s="7"/>
      <c r="G21" s="7"/>
      <c r="H21" s="7"/>
      <c r="I21" s="1">
        <f>SUM(Tabla14567[precio final])</f>
        <v>16353.366666666667</v>
      </c>
      <c r="O21" s="2"/>
      <c r="R21" s="2"/>
    </row>
    <row r="22" spans="2:27" x14ac:dyDescent="0.3">
      <c r="F22" s="2"/>
      <c r="I22" s="2"/>
      <c r="O22" s="2"/>
      <c r="R22" s="2"/>
    </row>
    <row r="23" spans="2:27" x14ac:dyDescent="0.3">
      <c r="B23" s="8" t="s">
        <v>44</v>
      </c>
      <c r="C23" s="8"/>
      <c r="D23" s="8"/>
      <c r="E23" s="8"/>
      <c r="F23" s="8"/>
      <c r="G23" s="8"/>
      <c r="H23" s="8"/>
      <c r="I23" s="8"/>
      <c r="K23" s="8" t="s">
        <v>38</v>
      </c>
      <c r="L23" s="8"/>
      <c r="M23" s="8"/>
      <c r="N23" s="8"/>
      <c r="O23" s="8"/>
      <c r="P23" s="8"/>
      <c r="Q23" s="8"/>
      <c r="R23" s="8"/>
      <c r="T23" s="8" t="s">
        <v>43</v>
      </c>
      <c r="U23" s="8"/>
      <c r="V23" s="8"/>
      <c r="W23" s="8"/>
      <c r="X23" s="8"/>
      <c r="Y23" s="8"/>
      <c r="Z23" s="8"/>
      <c r="AA23" s="8"/>
    </row>
    <row r="24" spans="2:27" x14ac:dyDescent="0.3">
      <c r="B24" s="8"/>
      <c r="C24" s="8"/>
      <c r="D24" s="8"/>
      <c r="E24" s="8"/>
      <c r="F24" s="8"/>
      <c r="G24" s="8"/>
      <c r="H24" s="8"/>
      <c r="I24" s="8"/>
      <c r="K24" s="8"/>
      <c r="L24" s="8"/>
      <c r="M24" s="8"/>
      <c r="N24" s="8"/>
      <c r="O24" s="8"/>
      <c r="P24" s="8"/>
      <c r="Q24" s="8"/>
      <c r="R24" s="8"/>
      <c r="T24" s="8"/>
      <c r="U24" s="8"/>
      <c r="V24" s="8"/>
      <c r="W24" s="8"/>
      <c r="X24" s="8"/>
      <c r="Y24" s="8"/>
      <c r="Z24" s="8"/>
      <c r="AA24" s="8"/>
    </row>
    <row r="25" spans="2:27" x14ac:dyDescent="0.3">
      <c r="F25" s="2"/>
      <c r="I25" s="2"/>
    </row>
    <row r="26" spans="2:27" x14ac:dyDescent="0.3">
      <c r="B26" s="6" t="s">
        <v>36</v>
      </c>
      <c r="C26" s="6" t="s">
        <v>35</v>
      </c>
      <c r="D26" s="6" t="s">
        <v>34</v>
      </c>
      <c r="E26" s="6" t="s">
        <v>1</v>
      </c>
      <c r="F26" s="5" t="s">
        <v>33</v>
      </c>
      <c r="G26" s="6" t="s">
        <v>32</v>
      </c>
      <c r="H26" s="6" t="s">
        <v>31</v>
      </c>
      <c r="I26" s="5" t="s">
        <v>30</v>
      </c>
      <c r="K26" s="6" t="s">
        <v>36</v>
      </c>
      <c r="L26" s="6" t="s">
        <v>35</v>
      </c>
      <c r="M26" s="6" t="s">
        <v>34</v>
      </c>
      <c r="N26" s="6" t="s">
        <v>1</v>
      </c>
      <c r="O26" s="5" t="s">
        <v>33</v>
      </c>
      <c r="P26" s="6" t="s">
        <v>32</v>
      </c>
      <c r="Q26" s="6" t="s">
        <v>31</v>
      </c>
      <c r="R26" s="5" t="s">
        <v>30</v>
      </c>
      <c r="T26" s="6" t="s">
        <v>36</v>
      </c>
      <c r="U26" s="6" t="s">
        <v>35</v>
      </c>
      <c r="V26" s="6" t="s">
        <v>34</v>
      </c>
      <c r="W26" s="6" t="s">
        <v>1</v>
      </c>
      <c r="X26" s="5" t="s">
        <v>33</v>
      </c>
      <c r="Y26" s="6" t="s">
        <v>32</v>
      </c>
      <c r="Z26" s="6" t="s">
        <v>31</v>
      </c>
      <c r="AA26" s="5" t="s">
        <v>30</v>
      </c>
    </row>
    <row r="27" spans="2:27" x14ac:dyDescent="0.3">
      <c r="B27" t="s">
        <v>3</v>
      </c>
      <c r="C27" t="s">
        <v>29</v>
      </c>
      <c r="D27">
        <v>500</v>
      </c>
      <c r="E27" t="s">
        <v>6</v>
      </c>
      <c r="F27" s="2">
        <v>2300</v>
      </c>
      <c r="G27">
        <f t="shared" ref="G27:G37" si="1">G6*1.5</f>
        <v>450</v>
      </c>
      <c r="H27" t="s">
        <v>6</v>
      </c>
      <c r="I27" s="2">
        <f t="shared" ref="I27:I40" si="2">G27*F27/D27</f>
        <v>2070</v>
      </c>
      <c r="K27" t="s">
        <v>22</v>
      </c>
      <c r="L27" t="s">
        <v>21</v>
      </c>
      <c r="M27">
        <v>500</v>
      </c>
      <c r="N27" t="s">
        <v>6</v>
      </c>
      <c r="O27" s="2">
        <v>6200</v>
      </c>
      <c r="P27">
        <f>P6</f>
        <v>250</v>
      </c>
      <c r="Q27" t="s">
        <v>6</v>
      </c>
      <c r="R27" s="2">
        <f>P27*O27/M27</f>
        <v>3100</v>
      </c>
      <c r="U27" t="s">
        <v>42</v>
      </c>
      <c r="V27">
        <v>1</v>
      </c>
      <c r="W27" t="s">
        <v>1</v>
      </c>
      <c r="X27" s="2">
        <v>2000</v>
      </c>
      <c r="Y27">
        <v>1</v>
      </c>
      <c r="Z27" t="s">
        <v>1</v>
      </c>
      <c r="AA27" s="2">
        <f>Y27*X27/V27</f>
        <v>2000</v>
      </c>
    </row>
    <row r="28" spans="2:27" x14ac:dyDescent="0.3">
      <c r="B28" t="s">
        <v>3</v>
      </c>
      <c r="C28" t="s">
        <v>28</v>
      </c>
      <c r="D28">
        <v>500</v>
      </c>
      <c r="E28" t="s">
        <v>6</v>
      </c>
      <c r="F28" s="2">
        <v>2900</v>
      </c>
      <c r="G28">
        <f t="shared" si="1"/>
        <v>37.5</v>
      </c>
      <c r="H28" t="s">
        <v>6</v>
      </c>
      <c r="I28" s="2">
        <f t="shared" si="2"/>
        <v>217.5</v>
      </c>
      <c r="K28" t="s">
        <v>3</v>
      </c>
      <c r="L28" t="s">
        <v>27</v>
      </c>
      <c r="M28">
        <v>500</v>
      </c>
      <c r="N28" t="s">
        <v>6</v>
      </c>
      <c r="O28" s="2">
        <v>3900</v>
      </c>
      <c r="P28">
        <f>P7</f>
        <v>70</v>
      </c>
      <c r="Q28" t="s">
        <v>6</v>
      </c>
      <c r="R28" s="2">
        <f>P28*O28/M28</f>
        <v>546</v>
      </c>
      <c r="T28" t="s">
        <v>3</v>
      </c>
      <c r="U28" t="s">
        <v>41</v>
      </c>
      <c r="V28">
        <v>125</v>
      </c>
      <c r="W28" t="s">
        <v>6</v>
      </c>
      <c r="X28" s="2">
        <v>10000</v>
      </c>
      <c r="Y28">
        <v>10</v>
      </c>
      <c r="Z28" t="s">
        <v>6</v>
      </c>
      <c r="AA28" s="2">
        <f>Y28*X28/V28</f>
        <v>800</v>
      </c>
    </row>
    <row r="29" spans="2:27" x14ac:dyDescent="0.3">
      <c r="B29" t="s">
        <v>22</v>
      </c>
      <c r="C29" t="s">
        <v>26</v>
      </c>
      <c r="D29">
        <v>250</v>
      </c>
      <c r="E29" t="s">
        <v>6</v>
      </c>
      <c r="F29" s="2">
        <v>1500</v>
      </c>
      <c r="G29">
        <f t="shared" si="1"/>
        <v>11.25</v>
      </c>
      <c r="H29" t="s">
        <v>6</v>
      </c>
      <c r="I29" s="2">
        <f t="shared" si="2"/>
        <v>67.5</v>
      </c>
      <c r="K29" t="s">
        <v>3</v>
      </c>
      <c r="L29" t="s">
        <v>25</v>
      </c>
      <c r="M29">
        <v>125</v>
      </c>
      <c r="N29" t="s">
        <v>6</v>
      </c>
      <c r="O29" s="2">
        <v>6200</v>
      </c>
      <c r="P29">
        <f>P8</f>
        <v>130</v>
      </c>
      <c r="Q29" t="s">
        <v>6</v>
      </c>
      <c r="R29" s="2">
        <f>P29*O29/M29</f>
        <v>6448</v>
      </c>
      <c r="X29" s="2"/>
      <c r="AA29" s="2"/>
    </row>
    <row r="30" spans="2:27" x14ac:dyDescent="0.3">
      <c r="B30" t="s">
        <v>22</v>
      </c>
      <c r="C30" t="s">
        <v>24</v>
      </c>
      <c r="D30">
        <v>250</v>
      </c>
      <c r="E30" t="s">
        <v>6</v>
      </c>
      <c r="F30" s="2">
        <v>2500</v>
      </c>
      <c r="G30">
        <f t="shared" si="1"/>
        <v>22.5</v>
      </c>
      <c r="H30" t="s">
        <v>6</v>
      </c>
      <c r="I30" s="2">
        <f t="shared" si="2"/>
        <v>225</v>
      </c>
      <c r="K30" t="s">
        <v>3</v>
      </c>
      <c r="L30" t="s">
        <v>23</v>
      </c>
      <c r="M30">
        <v>12</v>
      </c>
      <c r="N30" t="s">
        <v>8</v>
      </c>
      <c r="O30" s="2">
        <v>5000</v>
      </c>
      <c r="P30">
        <f>P9</f>
        <v>0.05</v>
      </c>
      <c r="Q30" t="s">
        <v>8</v>
      </c>
      <c r="R30" s="2">
        <f>P30*O30/M30</f>
        <v>20.833333333333332</v>
      </c>
      <c r="X30" s="2"/>
      <c r="AA30" s="2"/>
    </row>
    <row r="31" spans="2:27" x14ac:dyDescent="0.3">
      <c r="B31" t="s">
        <v>22</v>
      </c>
      <c r="C31" t="s">
        <v>21</v>
      </c>
      <c r="D31">
        <v>500</v>
      </c>
      <c r="E31" t="s">
        <v>6</v>
      </c>
      <c r="F31" s="2">
        <v>6200</v>
      </c>
      <c r="G31">
        <f t="shared" si="1"/>
        <v>169.5</v>
      </c>
      <c r="H31" t="s">
        <v>6</v>
      </c>
      <c r="I31" s="2">
        <f t="shared" si="2"/>
        <v>2101.8000000000002</v>
      </c>
    </row>
    <row r="32" spans="2:27" x14ac:dyDescent="0.3">
      <c r="B32" t="s">
        <v>10</v>
      </c>
      <c r="C32" t="s">
        <v>20</v>
      </c>
      <c r="D32">
        <v>900</v>
      </c>
      <c r="E32" t="s">
        <v>8</v>
      </c>
      <c r="F32" s="2">
        <v>7000</v>
      </c>
      <c r="G32">
        <f t="shared" si="1"/>
        <v>157.5</v>
      </c>
      <c r="H32" t="s">
        <v>8</v>
      </c>
      <c r="I32" s="2">
        <f t="shared" si="2"/>
        <v>1225</v>
      </c>
      <c r="K32" s="7" t="s">
        <v>40</v>
      </c>
      <c r="L32" s="7"/>
      <c r="M32" s="7"/>
      <c r="N32" s="7"/>
      <c r="O32" s="7"/>
      <c r="P32" s="7"/>
      <c r="Q32" s="7"/>
      <c r="R32" s="1">
        <f>SUM(Tabla14567811[precio final])</f>
        <v>10114.833333333334</v>
      </c>
      <c r="T32" s="7" t="s">
        <v>18</v>
      </c>
      <c r="U32" s="7"/>
      <c r="V32" s="7"/>
      <c r="W32" s="7"/>
      <c r="X32" s="7"/>
      <c r="Y32" s="7"/>
      <c r="Z32" s="7"/>
      <c r="AA32" s="4">
        <f>SUM(Tabla1456781415[precio final])+R34</f>
        <v>37894.883333333331</v>
      </c>
    </row>
    <row r="33" spans="2:27" x14ac:dyDescent="0.3">
      <c r="B33" t="s">
        <v>3</v>
      </c>
      <c r="C33" t="s">
        <v>17</v>
      </c>
      <c r="D33">
        <v>500</v>
      </c>
      <c r="E33" t="s">
        <v>6</v>
      </c>
      <c r="F33" s="2">
        <v>2000</v>
      </c>
      <c r="G33">
        <f t="shared" si="1"/>
        <v>498</v>
      </c>
      <c r="H33" t="s">
        <v>6</v>
      </c>
      <c r="I33" s="2">
        <f t="shared" si="2"/>
        <v>1992</v>
      </c>
    </row>
    <row r="34" spans="2:27" x14ac:dyDescent="0.3">
      <c r="B34" t="s">
        <v>16</v>
      </c>
      <c r="C34" t="s">
        <v>15</v>
      </c>
      <c r="D34">
        <v>1</v>
      </c>
      <c r="F34" s="2">
        <v>700</v>
      </c>
      <c r="G34">
        <f t="shared" si="1"/>
        <v>4.5</v>
      </c>
      <c r="I34" s="2">
        <f t="shared" si="2"/>
        <v>3150</v>
      </c>
      <c r="K34" s="7" t="s">
        <v>14</v>
      </c>
      <c r="L34" s="7"/>
      <c r="M34" s="7"/>
      <c r="N34" s="7"/>
      <c r="O34" s="7"/>
      <c r="P34" s="7"/>
      <c r="Q34" s="7"/>
      <c r="R34" s="3">
        <f>SUM(R32+I42)</f>
        <v>35094.883333333331</v>
      </c>
      <c r="T34" s="7" t="s">
        <v>11</v>
      </c>
      <c r="U34" s="7"/>
      <c r="V34" s="7"/>
      <c r="W34" s="7"/>
      <c r="X34" s="7"/>
      <c r="Y34" s="7"/>
      <c r="Z34" s="7"/>
      <c r="AA34" s="2">
        <f>R36</f>
        <v>120000</v>
      </c>
    </row>
    <row r="35" spans="2:27" x14ac:dyDescent="0.3">
      <c r="B35" t="s">
        <v>3</v>
      </c>
      <c r="C35" t="s">
        <v>13</v>
      </c>
      <c r="D35">
        <v>500</v>
      </c>
      <c r="E35" t="s">
        <v>8</v>
      </c>
      <c r="F35" s="2">
        <v>4000</v>
      </c>
      <c r="G35">
        <f t="shared" si="1"/>
        <v>12</v>
      </c>
      <c r="H35" t="s">
        <v>8</v>
      </c>
      <c r="I35" s="2">
        <f t="shared" si="2"/>
        <v>96</v>
      </c>
      <c r="X35" s="2"/>
      <c r="AA35" s="2"/>
    </row>
    <row r="36" spans="2:27" x14ac:dyDescent="0.3">
      <c r="B36" t="s">
        <v>10</v>
      </c>
      <c r="C36" t="s">
        <v>12</v>
      </c>
      <c r="D36">
        <v>1000</v>
      </c>
      <c r="E36" t="s">
        <v>8</v>
      </c>
      <c r="F36" s="2">
        <v>6500</v>
      </c>
      <c r="G36">
        <f t="shared" si="1"/>
        <v>11.25</v>
      </c>
      <c r="H36" t="s">
        <v>8</v>
      </c>
      <c r="I36" s="2">
        <f t="shared" si="2"/>
        <v>73.125</v>
      </c>
      <c r="K36" s="7" t="s">
        <v>11</v>
      </c>
      <c r="L36" s="7"/>
      <c r="M36" s="7"/>
      <c r="N36" s="7"/>
      <c r="O36" s="7"/>
      <c r="P36" s="7"/>
      <c r="Q36" s="7"/>
      <c r="R36" s="2">
        <v>120000</v>
      </c>
      <c r="T36" s="7" t="s">
        <v>5</v>
      </c>
      <c r="U36" s="7"/>
      <c r="V36" s="7"/>
      <c r="W36" s="7"/>
      <c r="X36" s="7"/>
      <c r="Y36" s="7"/>
      <c r="Z36" s="7"/>
      <c r="AA36" s="2">
        <f>AA34-AA32</f>
        <v>82105.116666666669</v>
      </c>
    </row>
    <row r="37" spans="2:27" x14ac:dyDescent="0.3">
      <c r="B37" t="s">
        <v>10</v>
      </c>
      <c r="C37" t="s">
        <v>9</v>
      </c>
      <c r="D37">
        <v>1000</v>
      </c>
      <c r="E37" t="s">
        <v>8</v>
      </c>
      <c r="F37" s="2">
        <v>6750</v>
      </c>
      <c r="G37">
        <f t="shared" si="1"/>
        <v>505.5</v>
      </c>
      <c r="H37" t="s">
        <v>8</v>
      </c>
      <c r="I37" s="2">
        <f t="shared" si="2"/>
        <v>3412.125</v>
      </c>
      <c r="O37" s="2"/>
      <c r="R37" s="2"/>
    </row>
    <row r="38" spans="2:27" x14ac:dyDescent="0.3">
      <c r="B38" t="s">
        <v>3</v>
      </c>
      <c r="C38" t="s">
        <v>7</v>
      </c>
      <c r="D38">
        <v>420</v>
      </c>
      <c r="E38" t="s">
        <v>6</v>
      </c>
      <c r="F38" s="2">
        <v>7500</v>
      </c>
      <c r="G38">
        <v>420</v>
      </c>
      <c r="H38" t="s">
        <v>6</v>
      </c>
      <c r="I38" s="2">
        <f t="shared" si="2"/>
        <v>7500</v>
      </c>
      <c r="K38" s="7" t="s">
        <v>5</v>
      </c>
      <c r="L38" s="7"/>
      <c r="M38" s="7"/>
      <c r="N38" s="7"/>
      <c r="O38" s="7"/>
      <c r="P38" s="7"/>
      <c r="Q38" s="7"/>
      <c r="R38" s="2">
        <f>R36-R34</f>
        <v>84905.116666666669</v>
      </c>
    </row>
    <row r="39" spans="2:27" x14ac:dyDescent="0.3">
      <c r="C39" t="s">
        <v>4</v>
      </c>
      <c r="D39">
        <v>1</v>
      </c>
      <c r="E39" t="s">
        <v>1</v>
      </c>
      <c r="F39" s="2">
        <v>2500</v>
      </c>
      <c r="G39">
        <v>1</v>
      </c>
      <c r="H39" t="s">
        <v>1</v>
      </c>
      <c r="I39" s="2">
        <f t="shared" si="2"/>
        <v>2500</v>
      </c>
    </row>
    <row r="40" spans="2:27" x14ac:dyDescent="0.3">
      <c r="B40" t="s">
        <v>3</v>
      </c>
      <c r="C40" t="s">
        <v>2</v>
      </c>
      <c r="D40">
        <v>4</v>
      </c>
      <c r="E40" t="s">
        <v>1</v>
      </c>
      <c r="F40" s="2">
        <v>1400</v>
      </c>
      <c r="G40">
        <v>1</v>
      </c>
      <c r="H40" t="s">
        <v>1</v>
      </c>
      <c r="I40" s="2">
        <f t="shared" si="2"/>
        <v>350</v>
      </c>
    </row>
    <row r="41" spans="2:27" x14ac:dyDescent="0.3">
      <c r="F41" s="2"/>
      <c r="I41" s="2"/>
    </row>
    <row r="42" spans="2:27" x14ac:dyDescent="0.3">
      <c r="B42" s="7" t="s">
        <v>0</v>
      </c>
      <c r="C42" s="7"/>
      <c r="D42" s="7"/>
      <c r="E42" s="7"/>
      <c r="F42" s="7"/>
      <c r="G42" s="7"/>
      <c r="H42" s="7"/>
      <c r="I42" s="1">
        <f>SUM(Tabla145679[precio final])</f>
        <v>24980.05</v>
      </c>
    </row>
    <row r="44" spans="2:27" x14ac:dyDescent="0.3">
      <c r="B44" s="8" t="s">
        <v>39</v>
      </c>
      <c r="C44" s="8"/>
      <c r="D44" s="8"/>
      <c r="E44" s="8"/>
      <c r="F44" s="8"/>
      <c r="G44" s="8"/>
      <c r="H44" s="8"/>
      <c r="I44" s="8"/>
      <c r="K44" s="8" t="s">
        <v>38</v>
      </c>
      <c r="L44" s="8"/>
      <c r="M44" s="8"/>
      <c r="N44" s="8"/>
      <c r="O44" s="8"/>
      <c r="P44" s="8"/>
      <c r="Q44" s="8"/>
      <c r="R44" s="8"/>
      <c r="T44" s="8" t="s">
        <v>37</v>
      </c>
      <c r="U44" s="8"/>
      <c r="V44" s="8"/>
      <c r="W44" s="8"/>
      <c r="X44" s="8"/>
      <c r="Y44" s="8"/>
      <c r="Z44" s="8"/>
      <c r="AA44" s="8"/>
    </row>
    <row r="45" spans="2:27" x14ac:dyDescent="0.3">
      <c r="B45" s="8"/>
      <c r="C45" s="8"/>
      <c r="D45" s="8"/>
      <c r="E45" s="8"/>
      <c r="F45" s="8"/>
      <c r="G45" s="8"/>
      <c r="H45" s="8"/>
      <c r="I45" s="8"/>
      <c r="K45" s="8"/>
      <c r="L45" s="8"/>
      <c r="M45" s="8"/>
      <c r="N45" s="8"/>
      <c r="O45" s="8"/>
      <c r="P45" s="8"/>
      <c r="Q45" s="8"/>
      <c r="R45" s="8"/>
      <c r="T45" s="8"/>
      <c r="U45" s="8"/>
      <c r="V45" s="8"/>
      <c r="W45" s="8"/>
      <c r="X45" s="8"/>
      <c r="Y45" s="8"/>
      <c r="Z45" s="8"/>
      <c r="AA45" s="8"/>
    </row>
    <row r="46" spans="2:27" x14ac:dyDescent="0.3">
      <c r="F46" s="2"/>
      <c r="I46" s="2"/>
    </row>
    <row r="47" spans="2:27" x14ac:dyDescent="0.3">
      <c r="B47" s="6" t="s">
        <v>36</v>
      </c>
      <c r="C47" s="6" t="s">
        <v>35</v>
      </c>
      <c r="D47" s="6" t="s">
        <v>34</v>
      </c>
      <c r="E47" s="6" t="s">
        <v>1</v>
      </c>
      <c r="F47" s="5" t="s">
        <v>33</v>
      </c>
      <c r="G47" s="6" t="s">
        <v>32</v>
      </c>
      <c r="H47" s="6" t="s">
        <v>31</v>
      </c>
      <c r="I47" s="5" t="s">
        <v>30</v>
      </c>
      <c r="K47" s="6" t="s">
        <v>36</v>
      </c>
      <c r="L47" s="6" t="s">
        <v>35</v>
      </c>
      <c r="M47" s="6" t="s">
        <v>34</v>
      </c>
      <c r="N47" s="6" t="s">
        <v>1</v>
      </c>
      <c r="O47" s="5" t="s">
        <v>33</v>
      </c>
      <c r="P47" s="6" t="s">
        <v>32</v>
      </c>
      <c r="Q47" s="6" t="s">
        <v>31</v>
      </c>
      <c r="R47" s="5" t="s">
        <v>30</v>
      </c>
      <c r="T47" s="6" t="s">
        <v>36</v>
      </c>
      <c r="U47" s="6" t="s">
        <v>35</v>
      </c>
      <c r="V47" s="6" t="s">
        <v>34</v>
      </c>
      <c r="W47" s="6" t="s">
        <v>1</v>
      </c>
      <c r="X47" s="5" t="s">
        <v>33</v>
      </c>
      <c r="Y47" s="6" t="s">
        <v>32</v>
      </c>
      <c r="Z47" s="6" t="s">
        <v>31</v>
      </c>
      <c r="AA47" s="5" t="s">
        <v>30</v>
      </c>
    </row>
    <row r="48" spans="2:27" x14ac:dyDescent="0.3">
      <c r="B48" t="s">
        <v>3</v>
      </c>
      <c r="C48" t="s">
        <v>29</v>
      </c>
      <c r="D48">
        <v>500</v>
      </c>
      <c r="E48" t="s">
        <v>6</v>
      </c>
      <c r="F48" s="2">
        <v>2300</v>
      </c>
      <c r="G48">
        <f t="shared" ref="G48:G58" si="3">G6/2</f>
        <v>150</v>
      </c>
      <c r="H48" t="s">
        <v>6</v>
      </c>
      <c r="I48" s="2">
        <f t="shared" ref="I48:I61" si="4">G48*F48/D48</f>
        <v>690</v>
      </c>
      <c r="K48" t="s">
        <v>22</v>
      </c>
      <c r="L48" t="s">
        <v>21</v>
      </c>
      <c r="M48">
        <v>500</v>
      </c>
      <c r="N48" t="s">
        <v>6</v>
      </c>
      <c r="O48" s="2">
        <v>6200</v>
      </c>
      <c r="P48">
        <f>P27</f>
        <v>250</v>
      </c>
      <c r="Q48" t="s">
        <v>6</v>
      </c>
      <c r="R48" s="2">
        <f>P48*O48/M48</f>
        <v>3100</v>
      </c>
      <c r="X48" s="2"/>
      <c r="AA48" s="2" t="e">
        <f>Y48*X48/V48</f>
        <v>#DIV/0!</v>
      </c>
    </row>
    <row r="49" spans="2:27" x14ac:dyDescent="0.3">
      <c r="B49" t="s">
        <v>3</v>
      </c>
      <c r="C49" t="s">
        <v>28</v>
      </c>
      <c r="D49">
        <v>500</v>
      </c>
      <c r="E49" t="s">
        <v>6</v>
      </c>
      <c r="F49" s="2">
        <v>2900</v>
      </c>
      <c r="G49">
        <f t="shared" si="3"/>
        <v>12.5</v>
      </c>
      <c r="H49" t="s">
        <v>6</v>
      </c>
      <c r="I49" s="2">
        <f t="shared" si="4"/>
        <v>72.5</v>
      </c>
      <c r="K49" t="s">
        <v>3</v>
      </c>
      <c r="L49" t="s">
        <v>27</v>
      </c>
      <c r="M49">
        <v>500</v>
      </c>
      <c r="N49" t="s">
        <v>6</v>
      </c>
      <c r="O49" s="2">
        <v>3900</v>
      </c>
      <c r="P49">
        <f>P28</f>
        <v>70</v>
      </c>
      <c r="Q49" t="s">
        <v>6</v>
      </c>
      <c r="R49" s="2">
        <f>P49*O49/M49</f>
        <v>546</v>
      </c>
      <c r="X49" s="2"/>
      <c r="AA49" s="2" t="e">
        <f>Y49*X49/V49</f>
        <v>#DIV/0!</v>
      </c>
    </row>
    <row r="50" spans="2:27" x14ac:dyDescent="0.3">
      <c r="B50" t="s">
        <v>22</v>
      </c>
      <c r="C50" t="s">
        <v>26</v>
      </c>
      <c r="D50">
        <v>250</v>
      </c>
      <c r="E50" t="s">
        <v>6</v>
      </c>
      <c r="F50" s="2">
        <v>1500</v>
      </c>
      <c r="G50">
        <f t="shared" si="3"/>
        <v>3.75</v>
      </c>
      <c r="H50" t="s">
        <v>6</v>
      </c>
      <c r="I50" s="2">
        <f t="shared" si="4"/>
        <v>22.5</v>
      </c>
      <c r="K50" t="s">
        <v>3</v>
      </c>
      <c r="L50" t="s">
        <v>25</v>
      </c>
      <c r="M50">
        <v>125</v>
      </c>
      <c r="N50" t="s">
        <v>6</v>
      </c>
      <c r="O50" s="2">
        <v>6200</v>
      </c>
      <c r="P50">
        <f>P29</f>
        <v>130</v>
      </c>
      <c r="Q50" t="s">
        <v>6</v>
      </c>
      <c r="R50" s="2">
        <f>P50*O50/M50</f>
        <v>6448</v>
      </c>
      <c r="X50" s="2"/>
      <c r="AA50" s="2" t="e">
        <f>Y50*X50/V50</f>
        <v>#DIV/0!</v>
      </c>
    </row>
    <row r="51" spans="2:27" x14ac:dyDescent="0.3">
      <c r="B51" t="s">
        <v>22</v>
      </c>
      <c r="C51" t="s">
        <v>24</v>
      </c>
      <c r="D51">
        <v>250</v>
      </c>
      <c r="E51" t="s">
        <v>6</v>
      </c>
      <c r="F51" s="2">
        <v>2500</v>
      </c>
      <c r="G51">
        <f t="shared" si="3"/>
        <v>7.5</v>
      </c>
      <c r="H51" t="s">
        <v>6</v>
      </c>
      <c r="I51" s="2">
        <f t="shared" si="4"/>
        <v>75</v>
      </c>
      <c r="K51" t="s">
        <v>3</v>
      </c>
      <c r="L51" t="s">
        <v>23</v>
      </c>
      <c r="M51">
        <v>12</v>
      </c>
      <c r="N51" t="s">
        <v>8</v>
      </c>
      <c r="O51" s="2">
        <v>5000</v>
      </c>
      <c r="P51">
        <f>P30</f>
        <v>0.05</v>
      </c>
      <c r="Q51" t="s">
        <v>8</v>
      </c>
      <c r="R51" s="2">
        <f>P51*O51/M51</f>
        <v>20.833333333333332</v>
      </c>
      <c r="X51" s="2"/>
      <c r="AA51" s="2" t="e">
        <f>Y51*X51/V51</f>
        <v>#DIV/0!</v>
      </c>
    </row>
    <row r="52" spans="2:27" x14ac:dyDescent="0.3">
      <c r="B52" t="s">
        <v>22</v>
      </c>
      <c r="C52" t="s">
        <v>21</v>
      </c>
      <c r="D52">
        <v>500</v>
      </c>
      <c r="E52" t="s">
        <v>6</v>
      </c>
      <c r="F52" s="2">
        <v>6200</v>
      </c>
      <c r="G52">
        <f t="shared" si="3"/>
        <v>56.5</v>
      </c>
      <c r="H52" t="s">
        <v>6</v>
      </c>
      <c r="I52" s="2">
        <f t="shared" si="4"/>
        <v>700.6</v>
      </c>
    </row>
    <row r="53" spans="2:27" x14ac:dyDescent="0.3">
      <c r="B53" t="s">
        <v>10</v>
      </c>
      <c r="C53" t="s">
        <v>20</v>
      </c>
      <c r="D53">
        <v>900</v>
      </c>
      <c r="E53" t="s">
        <v>8</v>
      </c>
      <c r="F53" s="2">
        <v>7000</v>
      </c>
      <c r="G53">
        <f t="shared" si="3"/>
        <v>52.5</v>
      </c>
      <c r="H53" t="s">
        <v>8</v>
      </c>
      <c r="I53" s="2">
        <f t="shared" si="4"/>
        <v>408.33333333333331</v>
      </c>
      <c r="K53" s="7" t="s">
        <v>19</v>
      </c>
      <c r="L53" s="7"/>
      <c r="M53" s="7"/>
      <c r="N53" s="7"/>
      <c r="O53" s="7"/>
      <c r="P53" s="7"/>
      <c r="Q53" s="7"/>
      <c r="R53" s="1">
        <f>SUM(Tabla1456781112[precio final])</f>
        <v>10114.833333333334</v>
      </c>
      <c r="T53" s="7" t="s">
        <v>18</v>
      </c>
      <c r="U53" s="7"/>
      <c r="V53" s="7"/>
      <c r="W53" s="7"/>
      <c r="X53" s="7"/>
      <c r="Y53" s="7"/>
      <c r="Z53" s="7"/>
      <c r="AA53" s="4" t="e">
        <f>SUM(Tabla1456781416[precio final])+R55</f>
        <v>#DIV/0!</v>
      </c>
    </row>
    <row r="54" spans="2:27" x14ac:dyDescent="0.3">
      <c r="B54" t="s">
        <v>3</v>
      </c>
      <c r="C54" t="s">
        <v>17</v>
      </c>
      <c r="D54">
        <v>500</v>
      </c>
      <c r="E54" t="s">
        <v>6</v>
      </c>
      <c r="F54" s="2">
        <v>2000</v>
      </c>
      <c r="G54">
        <f t="shared" si="3"/>
        <v>166</v>
      </c>
      <c r="H54" t="s">
        <v>6</v>
      </c>
      <c r="I54" s="2">
        <f t="shared" si="4"/>
        <v>664</v>
      </c>
    </row>
    <row r="55" spans="2:27" x14ac:dyDescent="0.3">
      <c r="B55" t="s">
        <v>16</v>
      </c>
      <c r="C55" t="s">
        <v>15</v>
      </c>
      <c r="D55">
        <v>1</v>
      </c>
      <c r="F55" s="2">
        <v>700</v>
      </c>
      <c r="G55">
        <f t="shared" si="3"/>
        <v>1.5</v>
      </c>
      <c r="I55" s="2">
        <f t="shared" si="4"/>
        <v>1050</v>
      </c>
      <c r="K55" s="7" t="s">
        <v>14</v>
      </c>
      <c r="L55" s="7"/>
      <c r="M55" s="7"/>
      <c r="N55" s="7"/>
      <c r="O55" s="7"/>
      <c r="P55" s="7"/>
      <c r="Q55" s="7"/>
      <c r="R55" s="3">
        <f>SUM(R53+I63)</f>
        <v>19716.51666666667</v>
      </c>
      <c r="T55" s="7" t="s">
        <v>11</v>
      </c>
      <c r="U55" s="7"/>
      <c r="V55" s="7"/>
      <c r="W55" s="7"/>
      <c r="X55" s="7"/>
      <c r="Y55" s="7"/>
      <c r="Z55" s="7"/>
      <c r="AA55" s="2">
        <f>R57</f>
        <v>35000</v>
      </c>
    </row>
    <row r="56" spans="2:27" x14ac:dyDescent="0.3">
      <c r="B56" t="s">
        <v>3</v>
      </c>
      <c r="C56" t="s">
        <v>13</v>
      </c>
      <c r="D56">
        <v>500</v>
      </c>
      <c r="E56" t="s">
        <v>8</v>
      </c>
      <c r="F56" s="2">
        <v>4000</v>
      </c>
      <c r="G56">
        <f t="shared" si="3"/>
        <v>4</v>
      </c>
      <c r="H56" t="s">
        <v>8</v>
      </c>
      <c r="I56" s="2">
        <f t="shared" si="4"/>
        <v>32</v>
      </c>
      <c r="X56" s="2"/>
      <c r="AA56" s="2"/>
    </row>
    <row r="57" spans="2:27" x14ac:dyDescent="0.3">
      <c r="B57" t="s">
        <v>10</v>
      </c>
      <c r="C57" t="s">
        <v>12</v>
      </c>
      <c r="D57">
        <v>1000</v>
      </c>
      <c r="E57" t="s">
        <v>8</v>
      </c>
      <c r="F57" s="2">
        <v>6500</v>
      </c>
      <c r="G57">
        <f t="shared" si="3"/>
        <v>3.75</v>
      </c>
      <c r="H57" t="s">
        <v>8</v>
      </c>
      <c r="I57" s="2">
        <f t="shared" si="4"/>
        <v>24.375</v>
      </c>
      <c r="K57" s="7" t="s">
        <v>11</v>
      </c>
      <c r="L57" s="7"/>
      <c r="M57" s="7"/>
      <c r="N57" s="7"/>
      <c r="O57" s="7"/>
      <c r="P57" s="7"/>
      <c r="Q57" s="7"/>
      <c r="R57" s="2">
        <v>35000</v>
      </c>
      <c r="T57" s="7" t="s">
        <v>5</v>
      </c>
      <c r="U57" s="7"/>
      <c r="V57" s="7"/>
      <c r="W57" s="7"/>
      <c r="X57" s="7"/>
      <c r="Y57" s="7"/>
      <c r="Z57" s="7"/>
      <c r="AA57" s="2" t="e">
        <f>AA55-AA53</f>
        <v>#DIV/0!</v>
      </c>
    </row>
    <row r="58" spans="2:27" x14ac:dyDescent="0.3">
      <c r="B58" t="s">
        <v>10</v>
      </c>
      <c r="C58" t="s">
        <v>9</v>
      </c>
      <c r="D58">
        <v>1000</v>
      </c>
      <c r="E58" t="s">
        <v>8</v>
      </c>
      <c r="F58" s="2">
        <v>6750</v>
      </c>
      <c r="G58">
        <f t="shared" si="3"/>
        <v>168.5</v>
      </c>
      <c r="H58" t="s">
        <v>8</v>
      </c>
      <c r="I58" s="2">
        <f t="shared" si="4"/>
        <v>1137.375</v>
      </c>
      <c r="O58" s="2"/>
      <c r="R58" s="2"/>
    </row>
    <row r="59" spans="2:27" x14ac:dyDescent="0.3">
      <c r="B59" t="s">
        <v>3</v>
      </c>
      <c r="C59" t="s">
        <v>7</v>
      </c>
      <c r="D59">
        <v>420</v>
      </c>
      <c r="E59" t="s">
        <v>6</v>
      </c>
      <c r="F59" s="2">
        <v>7500</v>
      </c>
      <c r="G59">
        <f>Tabla1456710[[#This Row],[cantidad vendida]]/4</f>
        <v>105</v>
      </c>
      <c r="H59" t="s">
        <v>6</v>
      </c>
      <c r="I59" s="2">
        <f t="shared" si="4"/>
        <v>1875</v>
      </c>
      <c r="K59" s="7" t="s">
        <v>5</v>
      </c>
      <c r="L59" s="7"/>
      <c r="M59" s="7"/>
      <c r="N59" s="7"/>
      <c r="O59" s="7"/>
      <c r="P59" s="7"/>
      <c r="Q59" s="7"/>
      <c r="R59" s="2">
        <f>R57-R55</f>
        <v>15283.48333333333</v>
      </c>
    </row>
    <row r="60" spans="2:27" x14ac:dyDescent="0.3">
      <c r="C60" t="s">
        <v>4</v>
      </c>
      <c r="D60">
        <v>1</v>
      </c>
      <c r="E60" t="s">
        <v>1</v>
      </c>
      <c r="F60" s="2">
        <v>2500</v>
      </c>
      <c r="G60">
        <v>1</v>
      </c>
      <c r="H60" t="s">
        <v>1</v>
      </c>
      <c r="I60" s="2">
        <f t="shared" si="4"/>
        <v>2500</v>
      </c>
    </row>
    <row r="61" spans="2:27" x14ac:dyDescent="0.3">
      <c r="B61" t="s">
        <v>3</v>
      </c>
      <c r="C61" t="s">
        <v>2</v>
      </c>
      <c r="D61">
        <v>4</v>
      </c>
      <c r="E61" t="s">
        <v>1</v>
      </c>
      <c r="F61" s="2">
        <v>1400</v>
      </c>
      <c r="G61">
        <v>1</v>
      </c>
      <c r="H61" t="s">
        <v>1</v>
      </c>
      <c r="I61" s="2">
        <f t="shared" si="4"/>
        <v>350</v>
      </c>
    </row>
    <row r="63" spans="2:27" x14ac:dyDescent="0.3">
      <c r="B63" s="7" t="s">
        <v>0</v>
      </c>
      <c r="C63" s="7"/>
      <c r="D63" s="7"/>
      <c r="E63" s="7"/>
      <c r="F63" s="7"/>
      <c r="G63" s="7"/>
      <c r="H63" s="7"/>
      <c r="I63" s="1">
        <f>SUM(Tabla1456710[precio final])</f>
        <v>9601.6833333333343</v>
      </c>
    </row>
  </sheetData>
  <mergeCells count="33">
    <mergeCell ref="B2:I3"/>
    <mergeCell ref="K2:R3"/>
    <mergeCell ref="B21:H21"/>
    <mergeCell ref="B23:I24"/>
    <mergeCell ref="B42:H42"/>
    <mergeCell ref="K36:Q36"/>
    <mergeCell ref="K38:Q38"/>
    <mergeCell ref="B63:H63"/>
    <mergeCell ref="K11:Q11"/>
    <mergeCell ref="K23:R24"/>
    <mergeCell ref="K32:Q32"/>
    <mergeCell ref="K44:R45"/>
    <mergeCell ref="K53:Q53"/>
    <mergeCell ref="K34:Q34"/>
    <mergeCell ref="K13:Q13"/>
    <mergeCell ref="K55:Q55"/>
    <mergeCell ref="B44:I45"/>
    <mergeCell ref="T2:AA3"/>
    <mergeCell ref="T23:AA24"/>
    <mergeCell ref="T44:AA45"/>
    <mergeCell ref="T32:Z32"/>
    <mergeCell ref="T11:Z11"/>
    <mergeCell ref="T13:Z13"/>
    <mergeCell ref="T15:Z15"/>
    <mergeCell ref="K57:Q57"/>
    <mergeCell ref="K59:Q59"/>
    <mergeCell ref="K15:Q15"/>
    <mergeCell ref="K17:Q17"/>
    <mergeCell ref="T34:Z34"/>
    <mergeCell ref="T36:Z36"/>
    <mergeCell ref="T55:Z55"/>
    <mergeCell ref="T57:Z57"/>
    <mergeCell ref="T53:Z53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2D1C4307504B45BC073FDA1CCCA4AC" ma:contentTypeVersion="15" ma:contentTypeDescription="Crear nuevo documento." ma:contentTypeScope="" ma:versionID="6b2d36c86e24db45c169bf31afd81589">
  <xsd:schema xmlns:xsd="http://www.w3.org/2001/XMLSchema" xmlns:xs="http://www.w3.org/2001/XMLSchema" xmlns:p="http://schemas.microsoft.com/office/2006/metadata/properties" xmlns:ns3="85295869-e4c1-420a-88e7-280817e009f5" xmlns:ns4="9b30c021-e5f9-4ebc-9c5a-05d8746d9ab4" targetNamespace="http://schemas.microsoft.com/office/2006/metadata/properties" ma:root="true" ma:fieldsID="ca29f3a3aab9d62666448c553b3f8b89" ns3:_="" ns4:_="">
    <xsd:import namespace="85295869-e4c1-420a-88e7-280817e009f5"/>
    <xsd:import namespace="9b30c021-e5f9-4ebc-9c5a-05d8746d9ab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95869-e4c1-420a-88e7-280817e009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30c021-e5f9-4ebc-9c5a-05d8746d9ab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295869-e4c1-420a-88e7-280817e009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6ED90C-0DFA-47D8-B9F9-89E5850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295869-e4c1-420a-88e7-280817e009f5"/>
    <ds:schemaRef ds:uri="9b30c021-e5f9-4ebc-9c5a-05d8746d9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B4B76B-CFD7-499A-AAED-94566EB998A2}">
  <ds:schemaRefs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9b30c021-e5f9-4ebc-9c5a-05d8746d9ab4"/>
    <ds:schemaRef ds:uri="http://schemas.microsoft.com/office/2006/documentManagement/types"/>
    <ds:schemaRef ds:uri="85295869-e4c1-420a-88e7-280817e009f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F9C48CE-B474-49AE-9A3C-FDB18A09E9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Torta vainilla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RUIZ ROMERO</dc:creator>
  <cp:lastModifiedBy>ALLISON RUIZ ROMERO</cp:lastModifiedBy>
  <dcterms:created xsi:type="dcterms:W3CDTF">2026-06-10T00:19:05Z</dcterms:created>
  <dcterms:modified xsi:type="dcterms:W3CDTF">2026-07-16T21:16:29Z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0x0101008B2D1C4307504B45BC073FDA1CCCA4AC</vt:lpwstr>
  </property>
</Properties>
</file>